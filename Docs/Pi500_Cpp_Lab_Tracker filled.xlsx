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Dashboard"/>
    <sheet r:id="rId2" sheetId="2" name="Lessons"/>
    <sheet r:id="rId3" sheetId="3" name="Session Log"/>
    <sheet r:id="rId4" sheetId="4" name="Predictions"/>
    <sheet r:id="rId5" sheetId="5" name="Boss Fights"/>
    <sheet r:id="rId6" sheetId="6" name="Pin Map"/>
    <sheet r:id="rId7" sheetId="7" name="C++ Skills"/>
    <sheet r:id="rId8" sheetId="8" name="Hardware"/>
    <sheet r:id="rId9" sheetId="9" name="Review Prompts"/>
  </sheets>
  <definedNames>
    <definedName name="_xlnm.Print_Titles" localSheetId="4">'Boss Fights'!$1:$7</definedName>
    <definedName name="_xlnm.Print_Titles" localSheetId="6">'C++ Skills'!$1:$7</definedName>
    <definedName name="_xlnm.Print_Titles" localSheetId="0">Dashboard!$1:$3</definedName>
    <definedName name="_xlnm._FilterDatabase" localSheetId="0">Dashboard!$A$9:$E$11</definedName>
    <definedName name="_xlnm.Print_Titles" localSheetId="7">Hardware!$1:$7</definedName>
    <definedName name="_xlnm.Print_Titles" localSheetId="1">Lessons!$1:$7</definedName>
    <definedName name="_xlnm._FilterDatabase" localSheetId="1">Lessons!$A$7:$L$22</definedName>
    <definedName name="_xlnm.Print_Titles" localSheetId="5">'Pin Map'!$1:$7</definedName>
    <definedName name="_xlnm.Print_Titles" localSheetId="3">=Predictions!:</definedName>
    <definedName name="_xlnm._FilterDatabase" localSheetId="3">=Predictions!$A$3:$G$33</definedName>
    <definedName name="_xlnm.Print_Titles" localSheetId="8">'Review Prompts'!$1:$6</definedName>
    <definedName name="_xlnm.Print_Titles" localSheetId="2">'Session Log'!$1:$7</definedName>
    <definedName name="_xlnm._FilterDatabase" localSheetId="2">'Session Log'!$A$7:$H$47</definedName>
  </definedNames>
  <calcPr fullCalcOnLoad="1"/>
</workbook>
</file>

<file path=xl/sharedStrings.xml><?xml version="1.0" encoding="utf-8"?>
<sst xmlns="http://schemas.openxmlformats.org/spreadsheetml/2006/main" count="475" uniqueCount="362">
  <si>
    <t>REVIEW PROMPTS — BRING THESE, NOT THE BLANKS</t>
  </si>
  <si>
    <t>After a run, answer in your notebook, then pressure-test with a human or Grok. Do not ask chat to fill skeletons.</t>
  </si>
  <si>
    <t>Lesson</t>
  </si>
  <si>
    <t>Review prompt</t>
  </si>
  <si>
    <t>My one-paragraph answer</t>
  </si>
  <si>
    <t>L1</t>
  </si>
  <si>
    <t>Explain PWM-by-accident without naming PWM. What state does the pin hold if the process dies mid-HIGH?</t>
  </si>
  <si>
    <t>With the 10-blink loop and no delays, I do not see a blink and the LED ends off. That is because ten toggles finish instantly and the last write is LOW. The pin is not “kind of on.” It is off when I look. The glow story needs a loop that keeps running. If program dies mid HIGH… well it stays high as fuck because RAIM wasn’t  there to clean out resources from  the kernal’s asshole</t>
  </si>
  <si>
    <t>L2</t>
  </si>
  <si>
    <t>Why does now==LOW alone flood the console? Why not PUD_DOWN for this circuit?</t>
  </si>
  <si>
    <t>Because an edge is a transition, and having only (now==LOW) defines a state that does not change. PUD_DOWN doesn't work bc pressing the button connects the circuit to GND, whiich is a HIGH--&gt;LOW  edge.</t>
  </si>
  <si>
    <t>L3</t>
  </si>
  <si>
    <t>Where does led_on live, and why must it live there?</t>
  </si>
  <si>
    <t>L4</t>
  </si>
  <si>
    <t>Derive pwmSetClock for 1 kHz with range 1024. Why is duty 0–100 in softPwm and 0–1024 in hardware PWM?</t>
  </si>
  <si>
    <t>L5</t>
  </si>
  <si>
    <t>How many independent hardware PWM channels does RP1 expose, and which BCM pins share them?</t>
  </si>
  <si>
    <t>L6</t>
  </si>
  <si>
    <t>Trace bit 0 of 0b1001111 through write_digit. Defend std::array vs a raw C array.</t>
  </si>
  <si>
    <t>L7</t>
  </si>
  <si>
    <t>Why HIGH-then-LOW on CLOCK rather than leaving CLOCK high? MSB-first vs LSB-first?</t>
  </si>
  <si>
    <t>L8</t>
  </si>
  <si>
    <t>Why close(fd) belongs in the destructor. ADC code vs voltage — write the conversion.</t>
  </si>
  <si>
    <t>L9</t>
  </si>
  <si>
    <t>Why the low nibble is shifted &lt;&lt; 4. What does a skipped delay look like on the glass?</t>
  </si>
  <si>
    <t>L10</t>
  </si>
  <si>
    <t>Why (hi &lt;&lt; 8) | lo and not the reverse. Why 16384.0 for ±2g.</t>
  </si>
  <si>
    <t>L11</t>
  </si>
  <si>
    <t>Name brake vs coast. Why common ground with the external supply is required.</t>
  </si>
  <si>
    <t>L12</t>
  </si>
  <si>
    <t>Why &gt;&gt;3 and &gt;&gt;2 before the RGB565 shifts. What happens if HDMI steals fb0.</t>
  </si>
  <si>
    <t>L13</t>
  </si>
  <si>
    <t>Why detecting the event node by name beats hard-coding event0. value 0 vs 1 vs 2.</t>
  </si>
  <si>
    <t>L14</t>
  </si>
  <si>
    <t>What stays in the I2C class and what must come from THIS board’s datasheet?</t>
  </si>
  <si>
    <t>L15</t>
  </si>
  <si>
    <t>What did RTIMULib take off your plate, and what C++ did you still have to own?</t>
  </si>
  <si>
    <t>KIT CHECK — FREENOVE ULTIMATE + SENSE HAT</t>
  </si>
  <si>
    <t>Tick Have? as you dump the box. Missing a part before Lesson 8 is a calendar problem, not a coding problem.</t>
  </si>
  <si>
    <t>Part</t>
  </si>
  <si>
    <t>Needed by</t>
  </si>
  <si>
    <t>Have?</t>
  </si>
  <si>
    <t>On breadboard now?</t>
  </si>
  <si>
    <t>Datasheet / notes</t>
  </si>
  <si>
    <t>Failure mode if skipped</t>
  </si>
  <si>
    <t>Substitute?</t>
  </si>
  <si>
    <t>Pi 500 + official PSU</t>
  </si>
  <si>
    <t>All</t>
  </si>
  <si>
    <t>Y</t>
  </si>
  <si>
    <t>N</t>
  </si>
  <si>
    <t>Header on the back, inverted</t>
  </si>
  <si>
    <t>No lab</t>
  </si>
  <si>
    <t>Pi 5 + keyboard is electrically close</t>
  </si>
  <si>
    <t>Breadboard + jumpers + cobbler</t>
  </si>
  <si>
    <t>Cobbler saves the inverted-header tax</t>
  </si>
  <si>
    <t>Flying-jumper chaos</t>
  </si>
  <si>
    <t>T-cobbler / GPIO extension</t>
  </si>
  <si>
    <t>LEDs + 220–330Ω resistors</t>
  </si>
  <si>
    <t>L1+</t>
  </si>
  <si>
    <t>Resistor is not optional</t>
  </si>
  <si>
    <t>Dead LED or dead pin</t>
  </si>
  <si>
    <t>Any 3mm/5mm LED</t>
  </si>
  <si>
    <t>Push button</t>
  </si>
  <si>
    <t>Wire to GND, use PUD_UP</t>
  </si>
  <si>
    <t>No edge work</t>
  </si>
  <si>
    <t>Any SPST momentary</t>
  </si>
  <si>
    <t>RGB LED common-cathode</t>
  </si>
  <si>
    <t>Confirm cathode vs anode</t>
  </si>
  <si>
    <t>Colors inverted / none</t>
  </si>
  <si>
    <t>Three discrete LEDs</t>
  </si>
  <si>
    <t>5161BS 7-segment</t>
  </si>
  <si>
    <t>5161bs.pdf polarity</t>
  </si>
  <si>
    <t>Wrong bits light</t>
  </si>
  <si>
    <t>Any 1-digit CC 7-seg</t>
  </si>
  <si>
    <t>74HC595</t>
  </si>
  <si>
    <t>74HC595.pdf truth table</t>
  </si>
  <si>
    <t>No serial-out skill</t>
  </si>
  <si>
    <t>Two &amp;apos;595s later for more bits</t>
  </si>
  <si>
    <t>ADS7830 or PCF8591</t>
  </si>
  <si>
    <t>Address via i2cdetect -y 1</t>
  </si>
  <si>
    <t>No analog in</t>
  </si>
  <si>
    <t>Any I2C 8-bit ADC</t>
  </si>
  <si>
    <t>Potentiometer</t>
  </si>
  <si>
    <t>L8, B3</t>
  </si>
  <si>
    <t>On ADC channel 0</t>
  </si>
  <si>
    <t>Nothing to turn</t>
  </si>
  <si>
    <t>Photoresistor divider</t>
  </si>
  <si>
    <t>PCF8574 + LCD1602</t>
  </si>
  <si>
    <t>Backpack address varies (0x27/0x3F)</t>
  </si>
  <si>
    <t>Skippable but you lose timing practice</t>
  </si>
  <si>
    <t>wiringPi lcd.h after hand-init</t>
  </si>
  <si>
    <t>MPU6050</t>
  </si>
  <si>
    <t>Default 0x68, wake 0x6B</t>
  </si>
  <si>
    <t>No signed-register practice</t>
  </si>
  <si>
    <t>HAT IMU later (different path)</t>
  </si>
  <si>
    <t>L293D + DC motor + EXT supply</t>
  </si>
  <si>
    <t>L11, B3</t>
  </si>
  <si>
    <t>Common GND mandatory</t>
  </si>
  <si>
    <t>A dead Pi</t>
  </si>
  <si>
    <t>Other H-bridge, never a GPIO</t>
  </si>
  <si>
    <t>Sense HAT</t>
  </si>
  <si>
    <t>L12–L15</t>
  </si>
  <si>
    <t>dtoverlay=rpi-sense if needed</t>
  </si>
  <si>
    <t>Unit II blocked</t>
  </si>
  <si>
    <t>No good substitute for the matrix path</t>
  </si>
  <si>
    <t>Sense HAT stacks on the 40-pin header and occupies it. Plan a sitting boundary: finish Unit I breadboard work before the HAT goes on, or keep a cobbler so you are not constantly restacking.</t>
  </si>
  <si>
    <t>C++ SKILLS — SELF-SCORE AFTER EACH UNIT</t>
  </si>
  <si>
    <t>Score 0 = cannot explain. 1 = can do with notes. 2 = can teach at the bench. Re-score after Unit I and after Lesson 15.</t>
  </si>
  <si>
    <t>Skill</t>
  </si>
  <si>
    <t>First appears</t>
  </si>
  <si>
    <t>After Unit I (0–2)</t>
  </si>
  <si>
    <t>After L15 (0–2)</t>
  </si>
  <si>
    <t>Evidence (file / note)</t>
  </si>
  <si>
    <t>Still shaky?</t>
  </si>
  <si>
    <t>constexpr pin constants, -Wall clean build</t>
  </si>
  <si>
    <t>Finite loop vs daemon loop; process-wide pin state</t>
  </si>
  <si>
    <t>Edge detector (prev/now) vs level follow</t>
  </si>
  <si>
    <t>L2–L3</t>
  </si>
  <si>
    <t>enum class state machine</t>
  </si>
  <si>
    <t>B1</t>
  </si>
  <si>
    <t>softPwm vs hardware PWM clock math</t>
  </si>
  <si>
    <t>struct + helper instead of copy-paste writes</t>
  </si>
  <si>
    <t>(x &gt;&gt; n) &amp; 1 and lookup tables</t>
  </si>
  <si>
    <t>L6–L7</t>
  </si>
  <si>
    <t>Bit-banged protocol (clock then latch)</t>
  </si>
  <si>
    <t>RAII around a raw fd</t>
  </si>
  <si>
    <t>I²C register read/write + command bytes</t>
  </si>
  <si>
    <t>L8–L10</t>
  </si>
  <si>
    <t>Signed 16-bit assembly, two&amp;apos;s complement</t>
  </si>
  <si>
    <t>H-bridge truth table in code</t>
  </si>
  <si>
    <t>mmap a framebuffer, RGB565 packing</t>
  </si>
  <si>
    <t>evdev input_event loop</t>
  </si>
  <si>
    <t>Link an external C++ library (RTIMULib)</t>
  </si>
  <si>
    <t>Unit I craft average</t>
  </si>
  <si>
    <t>Capstone craft average</t>
  </si>
  <si>
    <t>LIVE PIN MAP  ·  PI 500 REAR HEADER</t>
  </si>
  <si>
    <t>BCM is what goes in code. Physical is the header position. On a Pi 500 the header is inverted vs a Pi 5 photo — trust the case labels and gpio readall, then write the physical number you actually used.</t>
  </si>
  <si>
    <t>Reserved / special: BCM 2 = I2C1 SDA, BCM 3 = I2C1 SCL. Hardware PWM: 12 &amp; 18 (ch 0), 13 &amp; 19 (ch 1). Do not reuse BCM 2 as a button after Lesson 7.</t>
  </si>
  <si>
    <t>BCM</t>
  </si>
  <si>
    <t>Role in this lab</t>
  </si>
  <si>
    <t>Physical pin (from gpio readall)</t>
  </si>
  <si>
    <t>Now wired to</t>
  </si>
  <si>
    <t>Lesson last used</t>
  </si>
  <si>
    <t>5 V risk? (Y/N)</t>
  </si>
  <si>
    <t>Notes</t>
  </si>
  <si>
    <t>OK to PWM?</t>
  </si>
  <si>
    <t>I2C1 SDA  /  L2 button (temporary)</t>
  </si>
  <si>
    <t>Retire button wiring before L8</t>
  </si>
  <si>
    <t>No (I2C)</t>
  </si>
  <si>
    <t>I2C1 SCL</t>
  </si>
  <si>
    <t>Leave for I2C</t>
  </si>
  <si>
    <t>Default LED / RGB R / &amp;apos;595 DATA / motor IN1</t>
  </si>
  <si>
    <t>Most-used GPIO in Unit I</t>
  </si>
  <si>
    <t>soft only</t>
  </si>
  <si>
    <t>Hardware PWM LED / motor EN</t>
  </si>
  <si>
    <t>Prefer this for duty-critical pins</t>
  </si>
  <si>
    <t>hardware</t>
  </si>
  <si>
    <t>RGB G / &amp;apos;595 CLOCK / motor IN2</t>
  </si>
  <si>
    <t>RGB B / &amp;apos;595 LATCH</t>
  </si>
  <si>
    <t>7-seg a (lesson default)</t>
  </si>
  <si>
    <t>Confirm against your wiring</t>
  </si>
  <si>
    <t>7-seg b</t>
  </si>
  <si>
    <t>7-seg c</t>
  </si>
  <si>
    <t>7-seg e</t>
  </si>
  <si>
    <t>7-seg f</t>
  </si>
  <si>
    <t>7-seg g / alt hardware PWM ch0</t>
  </si>
  <si>
    <t>Shares HW PWM channel with 18</t>
  </si>
  <si>
    <t>Spare hardware PWM ch1</t>
  </si>
  <si>
    <t>Shares channel with 19</t>
  </si>
  <si>
    <t>5V</t>
  </si>
  <si>
    <t>External / header 5 V only</t>
  </si>
  <si>
    <t>Physical 2, 4</t>
  </si>
  <si>
    <t>Never into a GPIO</t>
  </si>
  <si>
    <t>—</t>
  </si>
  <si>
    <t>3V3</t>
  </si>
  <si>
    <t>Logic rail</t>
  </si>
  <si>
    <t>Physical 1, 17</t>
  </si>
  <si>
    <t>LED and chip Vcc when specified</t>
  </si>
  <si>
    <t>GND</t>
  </si>
  <si>
    <t>Common ground</t>
  </si>
  <si>
    <t>6, 9, 14, 20, 25, 30, 34, 39</t>
  </si>
  <si>
    <t>Share with external motor supply</t>
  </si>
  <si>
    <t>Fill Physical pin from gpio readall on THIS Pi 500. Do not copy a Pi 4 diagram. Update “Now wired to” every sitting so you can tear down without guessing.</t>
  </si>
  <si>
    <t>INTEGRATION BOSSES</t>
  </si>
  <si>
    <t>A lesson proves a part. A boss proves two parts talk. Do these the sitting after the last prerequisite.</t>
  </si>
  <si>
    <t>Code</t>
  </si>
  <si>
    <t>Name</t>
  </si>
  <si>
    <t>Unlock after</t>
  </si>
  <si>
    <t>What “done” looks like</t>
  </si>
  <si>
    <t>C++ you must own</t>
  </si>
  <si>
    <t>Status</t>
  </si>
  <si>
    <t>Hours</t>
  </si>
  <si>
    <t>Reaction timer</t>
  </si>
  <si>
    <t>Random delay, LED on, next press-edge prints ms. No flood-on-hold.</t>
  </si>
  <si>
    <t>enum class states + edge detector + timing</t>
  </si>
  <si>
    <t>Not started</t>
  </si>
  <si>
    <t>B2</t>
  </si>
  <si>
    <t>Scoreboard</t>
  </si>
  <si>
    <t>7-seg counts 0–9 while &amp;apos;595 bar fills. One loop, two devices.</t>
  </si>
  <si>
    <t>lookup table + shiftOut595 together</t>
  </si>
  <si>
    <t>B3</t>
  </si>
  <si>
    <t>Knob-to-motion</t>
  </si>
  <si>
    <t>Pot sets motor duty; direction switch or button; optional LCD duty print.</t>
  </si>
  <si>
    <t>I2C ADC + drive() + PWM</t>
  </si>
  <si>
    <t>B4</t>
  </si>
  <si>
    <t>Cursor</t>
  </si>
  <si>
    <t>Joystick moves one pixel, clamped 0–7, no smear, click resets.</t>
  </si>
  <si>
    <t>evdev + mmap RGB565 + clamp</t>
  </si>
  <si>
    <t>CAPSTONE (Lesson 15 extend)</t>
  </si>
  <si>
    <t>IMU rolls a marble around the 8×8 matrix like a ball in a tray. Joystick click snaps it back to center. Keep this program. It is the portfolio piece: framebuffer + evdev + a real C++ library + the I2C class you wrote in Lesson 8. Mark Lesson 15 Done only when the marble moves from fused orientation, not from raw accel chatter.</t>
  </si>
  <si>
    <t>PREDICT-FIRST LOG</t>
  </si>
  <si>
    <t>Write the prediction BEFORE the compile. The Lessons sheet flags Prediction logged? from column B.</t>
  </si>
  <si>
    <t>Date</t>
  </si>
  <si>
    <t>Lesson #</t>
  </si>
  <si>
    <t>Official predict prompt (short)</t>
  </si>
  <si>
    <t>My prediction</t>
  </si>
  <si>
    <t>What actually happened</t>
  </si>
  <si>
    <t>Why I think they diverged</t>
  </si>
  <si>
    <t>Keep / rewrite next time</t>
  </si>
  <si>
    <t>Min HIGH/LOW dwell to see a blink? What if both delay() calls vanish?</t>
  </si>
  <si>
    <t xml:space="preserve">In order to see the blinks, there  must be a time delay between HIGH and LOW  states  that is long  enough for the brain to detect distinct steps (e.g. 200ms)  and not stupidly long (e.g. ON…. Five years later… OFF) </t>
  </si>
  <si>
    <t>I  was correct! Tested different delay values. I  wrote a detection(ms) function  that used different delay values and printed them  out on output. Appears that  anything lower  than 1ms is unseen by my gullible visual cortex.</t>
  </si>
  <si>
    <t>They didn’t.</t>
  </si>
  <si>
    <t>With PUD_UP: unpressed = HIGH or LOW? Pressed = ?</t>
  </si>
  <si>
    <t>Unpressed =HIGH; Pressed = LOW</t>
  </si>
  <si>
    <t>As predicted</t>
  </si>
  <si>
    <t>They did not (but I was incorrect at first b/c I was unfamiliar with the coding lingo.</t>
  </si>
  <si>
    <t>What do you lose vs a single libgpiod request object on this circuit?</t>
  </si>
  <si>
    <t xml:space="preserve">The question is poorly phrased. You lose the ability to track changes in  several parallel components. But not relevant to this circuit bc there are just two components:  a button (input) and an LED (output, state machine). </t>
  </si>
  <si>
    <t>Range 100: duty for ~50%? Soft PWM vs hardware PWM — what differs?</t>
  </si>
  <si>
    <t>Magenta = ? Why can&amp;apos;t hardware PWM drive 3 independent colors on Pi 5?</t>
  </si>
  <si>
    <t>Sketch &amp;apos;3&amp;apos; and &amp;apos;7&amp;apos;. How many pins for 7 segments?</t>
  </si>
  <si>
    <t>Shift 0b10000000 MSB-first — first LED or last? Why?</t>
  </si>
  <si>
    <t>Does the ADC return a voltage or a number?</t>
  </si>
  <si>
    <t>What fails if you skip one datasheet delay?</t>
  </si>
  <si>
    <t>What breaks if the 16-bit axis value is treated as unsigned?</t>
  </si>
  <si>
    <t>IN combos for forward / reverse / brake. What must never be powered from the Pi?</t>
  </si>
  <si>
    <t>How do you pack (r,g,b) into one uint16_t? Work the shifts on paper.</t>
  </si>
  <si>
    <t>Which input_event fields are direction vs press/release/repeat?</t>
  </si>
  <si>
    <t>Why can the I2C class stay the same? What is the only per-sensor part?</t>
  </si>
  <si>
    <t>Why is hand-rolling fusion a bad use of time here vs Lesson 10 raw reads?</t>
  </si>
  <si>
    <t>SESSION LOG</t>
  </si>
  <si>
    <t>One row per sitting. Lesson # can be a boss code (B1–B4) or 1–15. Hours are decimal (1.5 = 90 minutes).</t>
  </si>
  <si>
    <t>Sessions logged</t>
  </si>
  <si>
    <t>Total hours</t>
  </si>
  <si>
    <t>Last session</t>
  </si>
  <si>
    <t>Sitting #</t>
  </si>
  <si>
    <t>Lesson # or B1–B4</t>
  </si>
  <si>
    <t>What I attempted</t>
  </si>
  <si>
    <t>Prediction held? (Y/N/partial)</t>
  </si>
  <si>
    <t>First surprise</t>
  </si>
  <si>
    <t>Next sitting starts at</t>
  </si>
  <si>
    <t>8/30/26</t>
  </si>
  <si>
    <t>To learn how to control an LED blinking via wiriingPi C++  library</t>
  </si>
  <si>
    <t>Soon?</t>
  </si>
  <si>
    <t>Coded to detect a button edge change</t>
  </si>
  <si>
    <t>None</t>
  </si>
  <si>
    <t>Dunno</t>
  </si>
  <si>
    <t>Tip: if a sitting spans two lessons, log two rows. The Lessons sheet sums hours by lesson number.</t>
  </si>
  <si>
    <t>LESSON TRACKER</t>
  </si>
  <si>
    <t>Status options: Not started  ·  In progress  ·  Done  ·  Blocked.  Prediction logged? should flip to Y the moment you write the row on Predictions.</t>
  </si>
  <si>
    <t>Done count</t>
  </si>
  <si>
    <t>Hours on lessons</t>
  </si>
  <si>
    <t>#</t>
  </si>
  <si>
    <t>Title</t>
  </si>
  <si>
    <t>Unit</t>
  </si>
  <si>
    <t>C++ focus</t>
  </si>
  <si>
    <t>Hardware</t>
  </si>
  <si>
    <t>Prereq</t>
  </si>
  <si>
    <t>Prediction logged?</t>
  </si>
  <si>
    <t>First run date</t>
  </si>
  <si>
    <t>Surprise (one line)</t>
  </si>
  <si>
    <t>Review asked?</t>
  </si>
  <si>
    <t>Blink an LED</t>
  </si>
  <si>
    <t>I GPIO</t>
  </si>
  <si>
    <t>setup, delay, finite loop</t>
  </si>
  <si>
    <t>LED + 220Ω on BCM 17</t>
  </si>
  <si>
    <t>Pre-flight</t>
  </si>
  <si>
    <t>Done</t>
  </si>
  <si>
    <t>The PWM-by-accident dimming  effect only took place in a continuous while loop, not in a finite loop; delay(0.8) is truncated bc an int conversion  to 0 occurs</t>
  </si>
  <si>
    <t>Read a button</t>
  </si>
  <si>
    <t>pull-up, edge vs level</t>
  </si>
  <si>
    <t>Button BCM 2 → GND</t>
  </si>
  <si>
    <t>Button-controlled LED</t>
  </si>
  <si>
    <t>toggle state machine</t>
  </si>
  <si>
    <t>L1 + L2 together</t>
  </si>
  <si>
    <t>PWM brightness</t>
  </si>
  <si>
    <t>I PWM</t>
  </si>
  <si>
    <t>softPwm vs hardware PWM</t>
  </si>
  <si>
    <t>LED on BCM 18</t>
  </si>
  <si>
    <t>RGB LED</t>
  </si>
  <si>
    <t>struct Color, 3× softPwm</t>
  </si>
  <si>
    <t>RGB on 17/27/22</t>
  </si>
  <si>
    <t>7-segment 5161BS</t>
  </si>
  <si>
    <t>I Bits</t>
  </si>
  <si>
    <t>lookup table, shift-and-mask</t>
  </si>
  <si>
    <t>7-seg + 7 GPIOs</t>
  </si>
  <si>
    <t>74HC595 shift register</t>
  </si>
  <si>
    <t>I Protocol</t>
  </si>
  <si>
    <t>bit-bang clock/latch</t>
  </si>
  <si>
    <t>595 + 8 LEDs, 3 GPIOs</t>
  </si>
  <si>
    <t>I²C ADC</t>
  </si>
  <si>
    <t>I I2C</t>
  </si>
  <si>
    <t>RAII fd wrapper</t>
  </si>
  <si>
    <t>ADS7830/PCF8591 + pot</t>
  </si>
  <si>
    <t>L1, I2C on</t>
  </si>
  <si>
    <t>nibble protocol, timing</t>
  </si>
  <si>
    <t>I2C LCD backpack</t>
  </si>
  <si>
    <t>signed 16-bit assemble</t>
  </si>
  <si>
    <t>MPU6050 @ 0x68</t>
  </si>
  <si>
    <t>L293D + DC motor</t>
  </si>
  <si>
    <t>I Power</t>
  </si>
  <si>
    <t>H-bridge + PWM enable</t>
  </si>
  <si>
    <t>L293D + ext. supply</t>
  </si>
  <si>
    <t>HAT matrix RGB565</t>
  </si>
  <si>
    <t>II Kernel</t>
  </si>
  <si>
    <t>mmap, bit packing</t>
  </si>
  <si>
    <t>Sense HAT framebuffer</t>
  </si>
  <si>
    <t>HAT setup</t>
  </si>
  <si>
    <t>HAT joystick evdev</t>
  </si>
  <si>
    <t>input_event, blocking read</t>
  </si>
  <si>
    <t>Sense HAT stick</t>
  </si>
  <si>
    <t>HAT env sensors</t>
  </si>
  <si>
    <t>II I2C</t>
  </si>
  <si>
    <t>reuse I2C class + datasheet math</t>
  </si>
  <si>
    <t>HAT T/P/H chips</t>
  </si>
  <si>
    <t>L8, L12</t>
  </si>
  <si>
    <t>RTIMULib capstone</t>
  </si>
  <si>
    <t>II Capstone</t>
  </si>
  <si>
    <t>link a real C++ lib, fusion</t>
  </si>
  <si>
    <t>HAT IMU + matrix + stick</t>
  </si>
  <si>
    <t>L12–L14</t>
  </si>
  <si>
    <t>Blocked means a hardware or environment problem, not “I peeked at the key.” If you are stuck on an idea, stay In progress and write the question on Predictions.</t>
  </si>
  <si>
    <t>PI 500  ·  C++ PHYSICAL COMPUTING LAB</t>
  </si>
  <si>
    <t>wiringPi GC2 fork  ·  BCM numbering  ·  predict → wire → fill → run → review</t>
  </si>
  <si>
    <t>Fill Lessons!Status and Session Log. This dashboard calculates itself.</t>
  </si>
  <si>
    <t>Lessons started</t>
  </si>
  <si>
    <t>Lessons done</t>
  </si>
  <si>
    <t>Boss fights done</t>
  </si>
  <si>
    <t>Hours logged</t>
  </si>
  <si>
    <t>PROGRESS BY UNIT</t>
  </si>
  <si>
    <t>Lessons in unit</t>
  </si>
  <si>
    <t>% complete</t>
  </si>
  <si>
    <t>I  GPIO / PWM / I²C / motor</t>
  </si>
  <si>
    <t>II  Sense HAT / kernel / capstone</t>
  </si>
  <si>
    <t>PRE-FLIGHT (do once — mark X when true)</t>
  </si>
  <si>
    <t>☐</t>
  </si>
  <si>
    <t>OS is Raspberry Pi OS Bookworm+ and device-tree model is a Pi 5 family board (Pi 500 is fine)</t>
  </si>
  <si>
    <t>g++ / build-essential / git / i2c-tools / cmake installed</t>
  </si>
  <si>
    <t>WiringPi v3.x built from github.com/WiringPi/WiringPi and gpio -v reports 3.x</t>
  </si>
  <si>
    <t>gpio readall prints a map; I have decided BCM + wiringPiSetupGpio() only</t>
  </si>
  <si>
    <t>I²C enabled via raspi-config; groups include gpio,i2c,spi,input,video; logged out/in</t>
  </si>
  <si>
    <t>Freenove kit repo cloned for datasheets only — I will not compile its C</t>
  </si>
  <si>
    <t>I know Pin 1 and Pin 40 on the Pi 500 case; header is inverted vs a Pi 5 photo</t>
  </si>
  <si>
    <t>Every LED has a 220–330 Ω resistor bag on the bench; motors have an external supply</t>
  </si>
  <si>
    <t>RULES OF THE LAB</t>
  </si>
  <si>
    <t>1.  Answer key stays closed until after the first honest run.</t>
  </si>
  <si>
    <t>2.  Freenove C and GPIO Zero Python are references for circuits and intuition, never source to paste.</t>
  </si>
  <si>
    <t>3.  BCM numbers only. Mixing wPi and BCM is the #1 silent failure.</t>
  </si>
  <si>
    <t>4.  Lesson 2 uses BCM 2 as a button. Lesson 8 needs BCM 2 as I²C SDA. Do not leave the button wired.</t>
  </si>
  <si>
    <t>5.  A session without a prediction written in Predictions is a skipped session, even if the LED blinked.</t>
  </si>
  <si>
    <t>How to use this workbook: Dashboard is read-only except the pre-flight checkboxes. Log work on Lessons, Session Log, Predictions, and Boss Fights. Pin Map is your live BCM↔header cheat sheet for the 500.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</si>
</sst>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"/>
    <numFmt numFmtId="165" formatCode="yyyy-mm-dd"/>
    <numFmt numFmtId="166" formatCode="#,##0%"/>
  </numFmts>
  <fonts count="23" x14ac:knownFonts="1">
    <font>
      <sz val="11"/>
      <color theme="1"/>
      <name val="Calibri"/>
      <family val="2"/>
      <scheme val="minor"/>
    </font>
    <font>
      <b/>
      <sz val="18"/>
      <color rgb="FF1b3a4b"/>
      <name val="Calibri"/>
      <family val="2"/>
    </font>
    <font>
      <i/>
      <sz val="10"/>
      <color rgb="FF0e7c7b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334155"/>
      <name val="Calibri"/>
      <family val="2"/>
    </font>
    <font>
      <sz val="11"/>
      <color rgb="FF334155"/>
      <name val="Calibri"/>
      <family val="2"/>
    </font>
    <font>
      <sz val="11"/>
      <color rgb="FF000000"/>
      <name val="Calibri"/>
      <family val="2"/>
    </font>
    <font>
      <i/>
      <sz val="9"/>
      <color rgb="FF64748b"/>
      <name val="Calibri"/>
      <family val="2"/>
    </font>
    <font>
      <b/>
      <sz val="14"/>
      <color rgb="FF0e7c7b"/>
      <name val="Calibri"/>
      <family val="2"/>
    </font>
    <font>
      <b/>
      <sz val="14"/>
      <color rgb="FF1b3a4b"/>
      <name val="Calibri"/>
      <family val="2"/>
    </font>
    <font>
      <i/>
      <sz val="10"/>
      <color rgb="FFc45c26"/>
      <name val="Calibri"/>
      <family val="2"/>
    </font>
    <font>
      <b/>
      <sz val="13"/>
      <color rgb="FF1b3a4b"/>
      <name val="Calibri"/>
      <family val="2"/>
    </font>
    <font>
      <b/>
      <sz val="11"/>
      <color rgb="FFc45c26"/>
      <name val="Calibri"/>
      <family val="2"/>
    </font>
    <font>
      <b/>
      <sz val="20"/>
      <color rgb="FF1b3a4b"/>
      <name val="Calibri"/>
      <family val="2"/>
    </font>
    <font>
      <i/>
      <sz val="11"/>
      <color rgb="FF0e7c7b"/>
      <name val="Calibri"/>
      <family val="2"/>
    </font>
    <font>
      <i/>
      <sz val="10"/>
      <color rgb="FF64748b"/>
      <name val="Calibri"/>
      <family val="2"/>
    </font>
    <font>
      <b/>
      <sz val="10"/>
      <color rgb="FFffffff"/>
      <name val="Calibri"/>
      <family val="2"/>
    </font>
    <font>
      <b/>
      <sz val="22"/>
      <color rgb="FF1b3a4b"/>
      <name val="Calibri"/>
      <family val="2"/>
    </font>
    <font>
      <b/>
      <sz val="22"/>
      <color rgb="FF0e7c7b"/>
      <name val="Calibri"/>
      <family val="2"/>
    </font>
    <font>
      <b/>
      <sz val="22"/>
      <color rgb="FFc45c26"/>
      <name val="Calibri"/>
      <family val="2"/>
    </font>
    <font>
      <b/>
      <sz val="22"/>
      <color rgb="FF334155"/>
      <name val="Calibri"/>
      <family val="2"/>
    </font>
    <font>
      <b/>
      <sz val="11"/>
      <color rgb="FF1b3a4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b3a4b"/>
      </patternFill>
    </fill>
    <fill>
      <patternFill patternType="solid">
        <fgColor rgb="FFf4f7f8"/>
      </patternFill>
    </fill>
    <fill>
      <patternFill patternType="solid">
        <fgColor rgb="FFffffff"/>
      </patternFill>
    </fill>
    <fill>
      <patternFill patternType="solid">
        <fgColor rgb="FF0e7c7b"/>
      </patternFill>
    </fill>
    <fill>
      <patternFill patternType="solid">
        <fgColor rgb="FFf8e8dc"/>
      </patternFill>
    </fill>
    <fill>
      <patternFill patternType="solid">
        <fgColor rgb="FFc45c26"/>
      </patternFill>
    </fill>
    <fill>
      <patternFill patternType="solid">
        <fgColor rgb="FFd7eded"/>
      </patternFill>
    </fill>
    <fill>
      <patternFill patternType="solid">
        <fgColor rgb="FFe4ebf0"/>
      </patternFill>
    </fill>
    <fill>
      <patternFill patternType="solid">
        <fgColor rgb="FF33415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2" applyBorder="1" fontId="4" applyFont="1" fillId="2" applyFill="1" applyAlignment="1">
      <alignment horizontal="center"/>
    </xf>
    <xf xfId="0" numFmtId="0" borderId="2" applyBorder="1" fontId="5" applyFont="1" fillId="3" applyFill="1" applyAlignment="1">
      <alignment horizontal="center"/>
    </xf>
    <xf xfId="0" numFmtId="0" borderId="2" applyBorder="1" fontId="6" applyFont="1" fillId="3" applyFill="1" applyAlignment="1">
      <alignment horizontal="left"/>
    </xf>
    <xf xfId="0" numFmtId="0" borderId="1" applyBorder="1" fontId="7" applyFont="1" fillId="0" applyAlignment="1">
      <alignment horizontal="left"/>
    </xf>
    <xf xfId="0" numFmtId="0" borderId="2" applyBorder="1" fontId="5" applyFont="1" fillId="4" applyFill="1" applyAlignment="1">
      <alignment horizontal="center"/>
    </xf>
    <xf xfId="0" numFmtId="0" borderId="2" applyBorder="1" fontId="6" applyFont="1" fillId="4" applyFill="1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4" applyFont="1" fillId="5" applyFill="1" applyAlignment="1">
      <alignment horizontal="center"/>
    </xf>
    <xf xfId="0" numFmtId="0" borderId="2" applyBorder="1" fontId="5" applyFont="1" fillId="3" applyFill="1" applyAlignment="1">
      <alignment horizontal="left"/>
    </xf>
    <xf xfId="0" numFmtId="0" borderId="2" applyBorder="1" fontId="6" applyFont="1" fillId="3" applyFill="1" applyAlignment="1">
      <alignment horizontal="center"/>
    </xf>
    <xf xfId="0" numFmtId="0" borderId="2" applyBorder="1" fontId="5" applyFont="1" fillId="4" applyFill="1" applyAlignment="1">
      <alignment horizontal="left"/>
    </xf>
    <xf xfId="0" numFmtId="0" borderId="2" applyBorder="1" fontId="6" applyFont="1" fillId="4" applyFill="1" applyAlignment="1">
      <alignment horizontal="center"/>
    </xf>
    <xf xfId="0" numFmtId="0" borderId="1" applyBorder="1" fontId="8" applyFont="1" fillId="0" applyAlignment="1">
      <alignment horizontal="left"/>
    </xf>
    <xf xfId="0" numFmtId="0" borderId="0" fontId="0" fillId="0" applyAlignment="1">
      <alignment horizontal="general"/>
    </xf>
    <xf xfId="0" numFmtId="0" borderId="3" applyBorder="1" fontId="4" applyFont="1" fillId="5" applyFill="1" applyAlignment="1">
      <alignment horizontal="left"/>
    </xf>
    <xf xfId="0" numFmtId="0" borderId="1" applyBorder="1" fontId="9" applyFont="1" fillId="0" applyAlignment="1">
      <alignment horizontal="left"/>
    </xf>
    <xf xfId="0" numFmtId="0" borderId="3" applyBorder="1" fontId="4" applyFont="1" fillId="2" applyFill="1" applyAlignment="1">
      <alignment horizontal="left"/>
    </xf>
    <xf xfId="0" numFmtId="0" borderId="1" applyBorder="1" fontId="10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1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2" applyBorder="1" fontId="4" applyFont="1" fillId="5" applyFill="1" applyAlignment="1">
      <alignment horizontal="center"/>
    </xf>
    <xf xfId="0" numFmtId="3" applyNumberFormat="1" borderId="2" applyBorder="1" fontId="5" applyFont="1" fillId="3" applyFill="1" applyAlignment="1">
      <alignment horizontal="center"/>
    </xf>
    <xf xfId="0" numFmtId="3" applyNumberFormat="1" borderId="2" applyBorder="1" fontId="5" applyFont="1" fillId="4" applyFill="1" applyAlignment="1">
      <alignment horizontal="center"/>
    </xf>
    <xf xfId="0" numFmtId="3" applyNumberFormat="1" borderId="2" applyBorder="1" fontId="5" applyFont="1" fillId="6" applyFill="1" applyAlignment="1">
      <alignment horizontal="center"/>
    </xf>
    <xf xfId="0" numFmtId="0" borderId="2" applyBorder="1" fontId="6" applyFont="1" fillId="6" applyFill="1" applyAlignment="1">
      <alignment horizontal="left"/>
    </xf>
    <xf xfId="0" numFmtId="0" borderId="2" applyBorder="1" fontId="6" applyFont="1" fillId="6" applyFill="1" applyAlignment="1">
      <alignment horizontal="center"/>
    </xf>
    <xf xfId="0" numFmtId="3" applyNumberFormat="1" borderId="1" applyBorder="1" fontId="8" applyFont="1" fillId="0" applyAlignment="1">
      <alignment horizontal="left"/>
    </xf>
    <xf xfId="0" numFmtId="3" applyNumberFormat="1" borderId="0" fontId="0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0" borderId="2" applyBorder="1" fontId="4" applyFont="1" fillId="7" applyFill="1" applyAlignment="1">
      <alignment horizontal="center"/>
    </xf>
    <xf xfId="0" numFmtId="164" applyNumberFormat="1" borderId="2" applyBorder="1" fontId="4" applyFont="1" fillId="7" applyFill="1" applyAlignment="1">
      <alignment horizontal="center"/>
    </xf>
    <xf xfId="0" numFmtId="164" applyNumberFormat="1" borderId="1" applyBorder="1" fontId="7" applyFont="1" fillId="0" applyAlignment="1">
      <alignment horizontal="right"/>
    </xf>
    <xf xfId="0" numFmtId="0" borderId="1" applyBorder="1" fontId="12" applyFont="1" fillId="0" applyAlignment="1">
      <alignment horizontal="left"/>
    </xf>
    <xf xfId="0" numFmtId="164" applyNumberFormat="1" borderId="1" applyBorder="1" fontId="12" applyFont="1" fillId="0" applyAlignment="1">
      <alignment horizontal="left"/>
    </xf>
    <xf xfId="0" numFmtId="0" borderId="2" applyBorder="1" fontId="6" applyFont="1" fillId="8" applyFill="1" applyAlignment="1">
      <alignment horizontal="left" vertical="top"/>
    </xf>
    <xf xfId="0" numFmtId="0" borderId="2" applyBorder="1" fontId="6" applyFont="1" fillId="8" applyFill="1" applyAlignment="1">
      <alignment horizontal="left"/>
    </xf>
    <xf xfId="0" numFmtId="164" applyNumberFormat="1" borderId="2" applyBorder="1" fontId="6" applyFont="1" fillId="8" applyFill="1" applyAlignment="1">
      <alignment horizontal="left"/>
    </xf>
    <xf xfId="0" numFmtId="164" applyNumberFormat="1" borderId="0" fontId="0" fillId="0" applyAlignment="1">
      <alignment horizontal="left"/>
    </xf>
    <xf xfId="0" numFmtId="3" applyNumberFormat="1" borderId="2" applyBorder="1" fontId="4" applyFont="1" fillId="7" applyFill="1" applyAlignment="1">
      <alignment horizontal="center"/>
    </xf>
    <xf xfId="0" numFmtId="165" applyNumberFormat="1" borderId="2" applyBorder="1" fontId="6" applyFont="1" fillId="3" applyFill="1" applyAlignment="1">
      <alignment horizontal="left"/>
    </xf>
    <xf xfId="0" numFmtId="3" applyNumberFormat="1" borderId="2" applyBorder="1" fontId="6" applyFont="1" fillId="3" applyFill="1" applyAlignment="1">
      <alignment horizontal="center"/>
    </xf>
    <xf xfId="0" numFmtId="165" applyNumberFormat="1" borderId="2" applyBorder="1" fontId="6" applyFont="1" fillId="4" applyFill="1" applyAlignment="1">
      <alignment horizontal="left"/>
    </xf>
    <xf xfId="0" numFmtId="3" applyNumberFormat="1" borderId="2" applyBorder="1" fontId="6" applyFont="1" fillId="4" applyFill="1" applyAlignment="1">
      <alignment horizontal="center"/>
    </xf>
    <xf xfId="0" numFmtId="3" applyNumberFormat="1" borderId="2" applyBorder="1" fontId="6" applyFont="1" fillId="4" applyFill="1" applyAlignment="1">
      <alignment horizontal="left"/>
    </xf>
    <xf xfId="0" numFmtId="3" applyNumberFormat="1" borderId="2" applyBorder="1" fontId="6" applyFont="1" fillId="3" applyFill="1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165" applyNumberFormat="1" borderId="1" applyBorder="1" fontId="2" applyFont="1" fillId="0" applyAlignment="1">
      <alignment horizontal="left"/>
    </xf>
    <xf xfId="0" numFmtId="3" applyNumberFormat="1" borderId="3" applyBorder="1" fontId="9" applyFont="1" fillId="8" applyFill="1" applyAlignment="1">
      <alignment horizontal="right"/>
    </xf>
    <xf xfId="0" numFmtId="3" applyNumberFormat="1" borderId="3" applyBorder="1" fontId="4" applyFont="1" fillId="2" applyFill="1" applyAlignment="1">
      <alignment horizontal="left"/>
    </xf>
    <xf xfId="0" numFmtId="164" applyNumberFormat="1" borderId="3" applyBorder="1" fontId="10" applyFont="1" fillId="9" applyFill="1" applyAlignment="1">
      <alignment horizontal="right"/>
    </xf>
    <xf xfId="0" numFmtId="0" borderId="3" applyBorder="1" fontId="4" applyFont="1" fillId="7" applyFill="1" applyAlignment="1">
      <alignment horizontal="left"/>
    </xf>
    <xf xfId="0" numFmtId="165" applyNumberFormat="1" borderId="3" applyBorder="1" fontId="13" applyFont="1" fillId="6" applyFill="1" applyAlignment="1">
      <alignment horizontal="right"/>
    </xf>
    <xf xfId="0" numFmtId="165" applyNumberFormat="1" borderId="1" applyBorder="1" fontId="3" applyFont="1" fillId="0" applyAlignment="1">
      <alignment horizontal="left"/>
    </xf>
    <xf xfId="0" numFmtId="3" applyNumberFormat="1" borderId="2" applyBorder="1" fontId="4" applyFont="1" fillId="2" applyFill="1" applyAlignment="1">
      <alignment horizontal="center"/>
    </xf>
    <xf xfId="0" numFmtId="164" applyNumberFormat="1" borderId="2" applyBorder="1" fontId="4" applyFont="1" fillId="2" applyFill="1" applyAlignment="1">
      <alignment horizontal="center"/>
    </xf>
    <xf xfId="0" numFmtId="165" applyNumberFormat="1" borderId="2" applyBorder="1" fontId="4" applyFont="1" fillId="2" applyFill="1" applyAlignment="1">
      <alignment horizontal="center"/>
    </xf>
    <xf xfId="0" numFmtId="164" applyNumberFormat="1" borderId="2" applyBorder="1" fontId="6" applyFont="1" fillId="3" applyFill="1" applyAlignment="1">
      <alignment horizontal="left"/>
    </xf>
    <xf xfId="0" numFmtId="164" applyNumberFormat="1" borderId="2" applyBorder="1" fontId="6" applyFont="1" fillId="4" applyFill="1" applyAlignment="1">
      <alignment horizontal="left"/>
    </xf>
    <xf xfId="0" numFmtId="164" applyNumberFormat="1" borderId="1" applyBorder="1" fontId="8" applyFont="1" fillId="0" applyAlignment="1">
      <alignment horizontal="left"/>
    </xf>
    <xf xfId="0" numFmtId="165" applyNumberFormat="1" borderId="1" applyBorder="1" fontId="8" applyFont="1" fillId="0" applyAlignment="1">
      <alignment horizontal="left"/>
    </xf>
    <xf xfId="0" numFmtId="165" applyNumberFormat="1" borderId="0" fontId="0" fillId="0" applyAlignment="1">
      <alignment horizontal="left"/>
    </xf>
    <xf xfId="0" numFmtId="3" applyNumberFormat="1" borderId="3" applyBorder="1" fontId="4" applyFont="1" fillId="5" applyFill="1" applyAlignment="1">
      <alignment horizontal="center"/>
    </xf>
    <xf xfId="0" numFmtId="0" borderId="3" applyBorder="1" fontId="4" applyFont="1" fillId="5" applyFill="1" applyAlignment="1">
      <alignment horizontal="center"/>
    </xf>
    <xf xfId="0" numFmtId="0" borderId="3" applyBorder="1" fontId="9" applyFont="1" fillId="8" applyFill="1" applyAlignment="1">
      <alignment horizontal="left"/>
    </xf>
    <xf xfId="0" numFmtId="0" borderId="3" applyBorder="1" fontId="4" applyFont="1" fillId="2" applyFill="1" applyAlignment="1">
      <alignment horizontal="center"/>
    </xf>
    <xf xfId="0" numFmtId="165" applyNumberFormat="1" borderId="0" fontId="0" fillId="0" applyAlignment="1">
      <alignment horizontal="left"/>
    </xf>
    <xf xfId="0" numFmtId="164" applyNumberFormat="1" borderId="2" applyBorder="1" fontId="6" applyFont="1" fillId="3" applyFill="1" applyAlignment="1">
      <alignment horizontal="center"/>
    </xf>
    <xf xfId="0" numFmtId="0" borderId="1" applyBorder="1" fontId="7" applyFont="1" fillId="0" applyAlignment="1">
      <alignment horizontal="center"/>
    </xf>
    <xf xfId="0" numFmtId="165" applyNumberFormat="1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164" applyNumberFormat="1" borderId="2" applyBorder="1" fontId="6" applyFont="1" fillId="4" applyFill="1" applyAlignment="1">
      <alignment horizontal="center"/>
    </xf>
    <xf xfId="0" numFmtId="0" borderId="1" applyBorder="1" fontId="14" applyFont="1" fillId="0" applyAlignment="1">
      <alignment horizontal="left"/>
    </xf>
    <xf xfId="0" numFmtId="3" applyNumberFormat="1" borderId="1" applyBorder="1" fontId="14" applyFont="1" fillId="0" applyAlignment="1">
      <alignment horizontal="left"/>
    </xf>
    <xf xfId="0" numFmtId="166" applyNumberFormat="1" borderId="1" applyBorder="1" fontId="14" applyFont="1" fillId="0" applyAlignment="1">
      <alignment horizontal="left"/>
    </xf>
    <xf xfId="0" numFmtId="1" applyNumberFormat="1" borderId="1" applyBorder="1" fontId="14" applyFont="1" fillId="0" applyAlignment="1">
      <alignment horizontal="left"/>
    </xf>
    <xf xfId="0" numFmtId="164" applyNumberFormat="1" borderId="1" applyBorder="1" fontId="14" applyFont="1" fillId="0" applyAlignment="1">
      <alignment horizontal="left"/>
    </xf>
    <xf xfId="0" numFmtId="0" borderId="1" applyBorder="1" fontId="15" applyFont="1" fillId="0" applyAlignment="1">
      <alignment horizontal="left"/>
    </xf>
    <xf xfId="0" numFmtId="3" applyNumberFormat="1" borderId="1" applyBorder="1" fontId="15" applyFont="1" fillId="0" applyAlignment="1">
      <alignment horizontal="left"/>
    </xf>
    <xf xfId="0" numFmtId="166" applyNumberFormat="1" borderId="1" applyBorder="1" fontId="15" applyFont="1" fillId="0" applyAlignment="1">
      <alignment horizontal="left"/>
    </xf>
    <xf xfId="0" numFmtId="1" applyNumberFormat="1" borderId="1" applyBorder="1" fontId="15" applyFont="1" fillId="0" applyAlignment="1">
      <alignment horizontal="left"/>
    </xf>
    <xf xfId="0" numFmtId="164" applyNumberFormat="1" borderId="1" applyBorder="1" fontId="15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3" applyNumberFormat="1" borderId="1" applyBorder="1" fontId="16" applyFont="1" fillId="0" applyAlignment="1">
      <alignment horizontal="left"/>
    </xf>
    <xf xfId="0" numFmtId="166" applyNumberFormat="1" borderId="1" applyBorder="1" fontId="16" applyFont="1" fillId="0" applyAlignment="1">
      <alignment horizontal="left"/>
    </xf>
    <xf xfId="0" numFmtId="1" applyNumberFormat="1" borderId="1" applyBorder="1" fontId="16" applyFont="1" fillId="0" applyAlignment="1">
      <alignment horizontal="left"/>
    </xf>
    <xf xfId="0" numFmtId="164" applyNumberFormat="1" borderId="1" applyBorder="1" fontId="16" applyFont="1" fillId="0" applyAlignment="1">
      <alignment horizontal="left"/>
    </xf>
    <xf xfId="0" numFmtId="1" applyNumberFormat="1" borderId="1" applyBorder="1" fontId="3" applyFont="1" fillId="0" applyAlignment="1">
      <alignment horizontal="left"/>
    </xf>
    <xf xfId="0" numFmtId="166" applyNumberFormat="1" borderId="1" applyBorder="1" fontId="3" applyFont="1" fillId="0" applyAlignment="1">
      <alignment horizontal="right"/>
    </xf>
    <xf xfId="0" numFmtId="0" borderId="2" applyBorder="1" fontId="17" applyFont="1" fillId="2" applyFill="1" applyAlignment="1">
      <alignment horizontal="center"/>
    </xf>
    <xf xfId="0" numFmtId="3" applyNumberFormat="1" borderId="2" applyBorder="1" fontId="17" applyFont="1" fillId="2" applyFill="1" applyAlignment="1">
      <alignment horizontal="center"/>
    </xf>
    <xf xfId="0" numFmtId="3" applyNumberFormat="1" borderId="2" applyBorder="1" fontId="17" applyFont="1" fillId="5" applyFill="1" applyAlignment="1">
      <alignment horizontal="center"/>
    </xf>
    <xf xfId="0" numFmtId="166" applyNumberFormat="1" borderId="2" applyBorder="1" fontId="17" applyFont="1" fillId="5" applyFill="1" applyAlignment="1">
      <alignment horizontal="center"/>
    </xf>
    <xf xfId="0" numFmtId="1" applyNumberFormat="1" borderId="2" applyBorder="1" fontId="17" applyFont="1" fillId="7" applyFill="1" applyAlignment="1">
      <alignment horizontal="center"/>
    </xf>
    <xf xfId="0" numFmtId="0" borderId="2" applyBorder="1" fontId="17" applyFont="1" fillId="7" applyFill="1" applyAlignment="1">
      <alignment horizontal="center"/>
    </xf>
    <xf xfId="0" numFmtId="164" applyNumberFormat="1" borderId="2" applyBorder="1" fontId="17" applyFont="1" fillId="10" applyFill="1" applyAlignment="1">
      <alignment horizontal="center"/>
    </xf>
    <xf xfId="0" numFmtId="0" borderId="2" applyBorder="1" fontId="17" applyFont="1" fillId="10" applyFill="1" applyAlignment="1">
      <alignment horizontal="center"/>
    </xf>
    <xf xfId="0" numFmtId="1" applyNumberFormat="1" borderId="2" applyBorder="1" fontId="18" applyFont="1" fillId="3" applyFill="1" applyAlignment="1">
      <alignment horizontal="center"/>
    </xf>
    <xf xfId="0" numFmtId="1" applyNumberFormat="1" borderId="2" applyBorder="1" fontId="19" applyFont="1" fillId="3" applyFill="1" applyAlignment="1">
      <alignment horizontal="center"/>
    </xf>
    <xf xfId="0" numFmtId="1" applyNumberFormat="1" borderId="2" applyBorder="1" fontId="20" applyFont="1" fillId="3" applyFill="1" applyAlignment="1">
      <alignment horizontal="center"/>
    </xf>
    <xf xfId="0" numFmtId="164" applyNumberFormat="1" borderId="2" applyBorder="1" fontId="21" applyFont="1" fillId="3" applyFill="1" applyAlignment="1">
      <alignment horizontal="center"/>
    </xf>
    <xf xfId="0" numFmtId="3" applyNumberFormat="1" borderId="1" applyBorder="1" fontId="12" applyFont="1" fillId="0" applyAlignment="1">
      <alignment horizontal="left"/>
    </xf>
    <xf xfId="0" numFmtId="166" applyNumberFormat="1" borderId="1" applyBorder="1" fontId="12" applyFont="1" fillId="0" applyAlignment="1">
      <alignment horizontal="left"/>
    </xf>
    <xf xfId="0" numFmtId="1" applyNumberFormat="1" borderId="1" applyBorder="1" fontId="12" applyFont="1" fillId="0" applyAlignment="1">
      <alignment horizontal="left"/>
    </xf>
    <xf xfId="0" numFmtId="166" applyNumberFormat="1" borderId="2" applyBorder="1" fontId="4" applyFont="1" fillId="5" applyFill="1" applyAlignment="1">
      <alignment horizontal="center"/>
    </xf>
    <xf xfId="0" numFmtId="1" applyNumberFormat="1" borderId="2" applyBorder="1" fontId="4" applyFont="1" fillId="5" applyFill="1" applyAlignment="1">
      <alignment horizontal="center"/>
    </xf>
    <xf xfId="0" numFmtId="0" borderId="2" applyBorder="1" fontId="22" applyFont="1" fillId="3" applyFill="1" applyAlignment="1">
      <alignment horizontal="left"/>
    </xf>
    <xf xfId="0" numFmtId="3" applyNumberFormat="1" borderId="2" applyBorder="1" fontId="6" applyFont="1" fillId="3" applyFill="1" applyAlignment="1">
      <alignment horizontal="right"/>
    </xf>
    <xf xfId="0" numFmtId="166" applyNumberFormat="1" borderId="2" applyBorder="1" fontId="6" applyFont="1" fillId="3" applyFill="1" applyAlignment="1">
      <alignment horizontal="right"/>
    </xf>
    <xf xfId="0" numFmtId="1" applyNumberFormat="1" borderId="2" applyBorder="1" fontId="6" applyFont="1" fillId="3" applyFill="1" applyAlignment="1">
      <alignment horizontal="left"/>
    </xf>
    <xf xfId="0" numFmtId="0" borderId="2" applyBorder="1" fontId="22" applyFont="1" fillId="4" applyFill="1" applyAlignment="1">
      <alignment horizontal="left"/>
    </xf>
    <xf xfId="0" numFmtId="3" applyNumberFormat="1" borderId="2" applyBorder="1" fontId="6" applyFont="1" fillId="4" applyFill="1" applyAlignment="1">
      <alignment horizontal="right"/>
    </xf>
    <xf xfId="0" numFmtId="166" applyNumberFormat="1" borderId="2" applyBorder="1" fontId="6" applyFont="1" fillId="4" applyFill="1" applyAlignment="1">
      <alignment horizontal="right"/>
    </xf>
    <xf xfId="0" numFmtId="1" applyNumberFormat="1" borderId="2" applyBorder="1" fontId="6" applyFont="1" fillId="4" applyFill="1" applyAlignment="1">
      <alignment horizontal="left"/>
    </xf>
    <xf xfId="0" numFmtId="0" borderId="2" applyBorder="1" fontId="22" applyFont="1" fillId="8" applyFill="1" applyAlignment="1">
      <alignment horizontal="center"/>
    </xf>
    <xf xfId="0" numFmtId="166" applyNumberFormat="1" borderId="2" applyBorder="1" fontId="6" applyFont="1" fillId="4" applyFill="1" applyAlignment="1">
      <alignment horizontal="left"/>
    </xf>
    <xf xfId="0" numFmtId="3" applyNumberFormat="1" borderId="2" applyBorder="1" fontId="6" applyFont="1" fillId="6" applyFill="1" applyAlignment="1">
      <alignment horizontal="left"/>
    </xf>
    <xf xfId="0" numFmtId="166" applyNumberFormat="1" borderId="2" applyBorder="1" fontId="6" applyFont="1" fillId="6" applyFill="1" applyAlignment="1">
      <alignment horizontal="left"/>
    </xf>
    <xf xfId="0" numFmtId="1" applyNumberFormat="1" borderId="2" applyBorder="1" fontId="6" applyFont="1" fillId="6" applyFill="1" applyAlignment="1">
      <alignment horizontal="left"/>
    </xf>
    <xf xfId="0" numFmtId="164" applyNumberFormat="1" borderId="2" applyBorder="1" fontId="6" applyFont="1" fillId="6" applyFill="1" applyAlignment="1">
      <alignment horizontal="left"/>
    </xf>
    <xf xfId="0" numFmtId="166" applyNumberFormat="1" borderId="1" applyBorder="1" fontId="8" applyFont="1" fillId="0" applyAlignment="1">
      <alignment horizontal="left"/>
    </xf>
    <xf xfId="0" numFmtId="1" applyNumberFormat="1" borderId="1" applyBorder="1" fontId="8" applyFont="1" fillId="0" applyAlignment="1">
      <alignment horizontal="left"/>
    </xf>
    <xf xfId="0" numFmtId="166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0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12" width="28.005" customWidth="1" bestFit="1"/>
    <col min="2" max="2" style="38" width="22.005" customWidth="1" bestFit="1"/>
    <col min="3" max="3" style="38" width="14.005" customWidth="1" bestFit="1"/>
    <col min="4" max="4" style="134" width="14.005" customWidth="1" bestFit="1"/>
    <col min="5" max="5" style="135" width="18.005" customWidth="1" bestFit="1"/>
    <col min="6" max="6" style="12" width="18.005" customWidth="1" bestFit="1"/>
    <col min="7" max="7" style="50" width="16.005" customWidth="1" bestFit="1"/>
    <col min="8" max="8" style="12" width="16.005" customWidth="1" bestFit="1"/>
  </cols>
  <sheetData>
    <row x14ac:dyDescent="0.25" r="1" customHeight="1" ht="21.75">
      <c r="A1" s="84" t="s">
        <v>333</v>
      </c>
      <c r="B1" s="85"/>
      <c r="C1" s="85"/>
      <c r="D1" s="86"/>
      <c r="E1" s="87"/>
      <c r="F1" s="84"/>
      <c r="G1" s="88"/>
      <c r="H1" s="84"/>
    </row>
    <row x14ac:dyDescent="0.25" r="2" customHeight="1" ht="21.75">
      <c r="A2" s="89" t="s">
        <v>334</v>
      </c>
      <c r="B2" s="90"/>
      <c r="C2" s="90"/>
      <c r="D2" s="91"/>
      <c r="E2" s="92"/>
      <c r="F2" s="89"/>
      <c r="G2" s="93"/>
      <c r="H2" s="89"/>
    </row>
    <row x14ac:dyDescent="0.25" r="3" customHeight="1" ht="21.75">
      <c r="A3" s="94" t="s">
        <v>335</v>
      </c>
      <c r="B3" s="95"/>
      <c r="C3" s="95"/>
      <c r="D3" s="96"/>
      <c r="E3" s="97"/>
      <c r="F3" s="94"/>
      <c r="G3" s="98"/>
      <c r="H3" s="94"/>
    </row>
    <row x14ac:dyDescent="0.25" r="4" customHeight="1" ht="21.75">
      <c r="A4" s="99"/>
      <c r="B4" s="30"/>
      <c r="C4" s="30"/>
      <c r="D4" s="100"/>
      <c r="E4" s="99"/>
      <c r="F4" s="13"/>
      <c r="G4" s="41"/>
      <c r="H4" s="13"/>
    </row>
    <row x14ac:dyDescent="0.25" r="5" customHeight="1" ht="21.75">
      <c r="A5" s="101" t="s">
        <v>336</v>
      </c>
      <c r="B5" s="102"/>
      <c r="C5" s="103" t="s">
        <v>337</v>
      </c>
      <c r="D5" s="104"/>
      <c r="E5" s="105" t="s">
        <v>338</v>
      </c>
      <c r="F5" s="106"/>
      <c r="G5" s="107" t="s">
        <v>339</v>
      </c>
      <c r="H5" s="108"/>
    </row>
    <row x14ac:dyDescent="0.25" r="6" customHeight="1" ht="21.75">
      <c r="A6" s="109">
        <f>COUNTIF(Lessons!G8:G22,"In progress")+COUNTIF(Lessons!G8:G22,"Done")+COUNTIF(Lessons!G8:G22,"Blocked")</f>
      </c>
      <c r="B6" s="109"/>
      <c r="C6" s="110">
        <f>COUNTIF(Lessons!G8:G22,"Done")</f>
      </c>
      <c r="D6" s="110"/>
      <c r="E6" s="111">
        <f>COUNTIF(&amp;apos;Boss Fights&amp;apos;!F8:F11,"Done")</f>
      </c>
      <c r="F6" s="111"/>
      <c r="G6" s="112">
        <f>SUM(&amp;apos;Session Log&amp;apos;!G8:G200)</f>
      </c>
      <c r="H6" s="112"/>
    </row>
    <row x14ac:dyDescent="0.25" r="7" customHeight="1" ht="21.75">
      <c r="A7" s="99"/>
      <c r="B7" s="30"/>
      <c r="C7" s="30"/>
      <c r="D7" s="100"/>
      <c r="E7" s="99"/>
      <c r="F7" s="13"/>
      <c r="G7" s="41"/>
      <c r="H7" s="13"/>
    </row>
    <row x14ac:dyDescent="0.25" r="8" customHeight="1" ht="21.75">
      <c r="A8" s="45" t="s">
        <v>340</v>
      </c>
      <c r="B8" s="113"/>
      <c r="C8" s="113"/>
      <c r="D8" s="114"/>
      <c r="E8" s="115"/>
      <c r="F8" s="45"/>
      <c r="G8" s="46"/>
      <c r="H8" s="45"/>
    </row>
    <row x14ac:dyDescent="0.25" r="9" customHeight="1" ht="21.75">
      <c r="A9" s="14" t="s">
        <v>265</v>
      </c>
      <c r="B9" s="31" t="s">
        <v>341</v>
      </c>
      <c r="C9" s="31" t="s">
        <v>278</v>
      </c>
      <c r="D9" s="116" t="s">
        <v>342</v>
      </c>
      <c r="E9" s="117" t="s">
        <v>190</v>
      </c>
      <c r="F9" s="13"/>
      <c r="G9" s="41"/>
      <c r="H9" s="13"/>
    </row>
    <row x14ac:dyDescent="0.25" r="10" customHeight="1" ht="21.75">
      <c r="A10" s="118" t="s">
        <v>343</v>
      </c>
      <c r="B10" s="119">
        <v>11</v>
      </c>
      <c r="C10" s="119">
        <f>COUNTIF(Lessons!G8:G18,"Done")</f>
      </c>
      <c r="D10" s="120">
        <f>IF(B10=0,0,C10/B10)</f>
      </c>
      <c r="E10" s="121">
        <f>IF(C10=B10,"Unit cleared",IF(C10=0,"Not started","In progress"))</f>
      </c>
      <c r="F10" s="13"/>
      <c r="G10" s="41"/>
      <c r="H10" s="13"/>
    </row>
    <row x14ac:dyDescent="0.25" r="11" customHeight="1" ht="21.75">
      <c r="A11" s="122" t="s">
        <v>344</v>
      </c>
      <c r="B11" s="123">
        <v>4</v>
      </c>
      <c r="C11" s="123">
        <f>COUNTIF(Lessons!G19:G22,"Done")</f>
      </c>
      <c r="D11" s="124">
        <f>IF(B11=0,0,C11/B11)</f>
      </c>
      <c r="E11" s="125">
        <f>IF(C11=B11,"Unit cleared",IF(C11=0,"Not started","In progress"))</f>
      </c>
      <c r="F11" s="13"/>
      <c r="G11" s="41"/>
      <c r="H11" s="13"/>
    </row>
    <row x14ac:dyDescent="0.25" r="12" customHeight="1" ht="21.75">
      <c r="A12" s="99"/>
      <c r="B12" s="30"/>
      <c r="C12" s="30"/>
      <c r="D12" s="100"/>
      <c r="E12" s="99"/>
      <c r="F12" s="13"/>
      <c r="G12" s="41"/>
      <c r="H12" s="13"/>
    </row>
    <row x14ac:dyDescent="0.25" r="13" customHeight="1" ht="21.75">
      <c r="A13" s="45" t="s">
        <v>345</v>
      </c>
      <c r="B13" s="113"/>
      <c r="C13" s="113"/>
      <c r="D13" s="114"/>
      <c r="E13" s="115"/>
      <c r="F13" s="45"/>
      <c r="G13" s="46"/>
      <c r="H13" s="45"/>
    </row>
    <row x14ac:dyDescent="0.25" r="14" customHeight="1" ht="21.75">
      <c r="A14" s="126" t="s">
        <v>346</v>
      </c>
      <c r="B14" s="56" t="s">
        <v>347</v>
      </c>
      <c r="C14" s="56"/>
      <c r="D14" s="127"/>
      <c r="E14" s="125"/>
      <c r="F14" s="10"/>
      <c r="G14" s="70"/>
      <c r="H14" s="10"/>
    </row>
    <row x14ac:dyDescent="0.25" r="15" customHeight="1" ht="21.75">
      <c r="A15" s="126" t="s">
        <v>346</v>
      </c>
      <c r="B15" s="56" t="s">
        <v>348</v>
      </c>
      <c r="C15" s="56"/>
      <c r="D15" s="127"/>
      <c r="E15" s="125"/>
      <c r="F15" s="10"/>
      <c r="G15" s="70"/>
      <c r="H15" s="10"/>
    </row>
    <row x14ac:dyDescent="0.25" r="16" customHeight="1" ht="21.75">
      <c r="A16" s="126" t="s">
        <v>346</v>
      </c>
      <c r="B16" s="56" t="s">
        <v>349</v>
      </c>
      <c r="C16" s="56"/>
      <c r="D16" s="127"/>
      <c r="E16" s="125"/>
      <c r="F16" s="10"/>
      <c r="G16" s="70"/>
      <c r="H16" s="10"/>
    </row>
    <row x14ac:dyDescent="0.25" r="17" customHeight="1" ht="21.75">
      <c r="A17" s="126" t="s">
        <v>346</v>
      </c>
      <c r="B17" s="56" t="s">
        <v>350</v>
      </c>
      <c r="C17" s="56"/>
      <c r="D17" s="127"/>
      <c r="E17" s="125"/>
      <c r="F17" s="10"/>
      <c r="G17" s="70"/>
      <c r="H17" s="10"/>
    </row>
    <row x14ac:dyDescent="0.25" r="18" customHeight="1" ht="21.75">
      <c r="A18" s="126" t="s">
        <v>346</v>
      </c>
      <c r="B18" s="56" t="s">
        <v>351</v>
      </c>
      <c r="C18" s="56"/>
      <c r="D18" s="127"/>
      <c r="E18" s="125"/>
      <c r="F18" s="10"/>
      <c r="G18" s="70"/>
      <c r="H18" s="10"/>
    </row>
    <row x14ac:dyDescent="0.25" r="19" customHeight="1" ht="21.75">
      <c r="A19" s="126" t="s">
        <v>346</v>
      </c>
      <c r="B19" s="56" t="s">
        <v>352</v>
      </c>
      <c r="C19" s="56"/>
      <c r="D19" s="127"/>
      <c r="E19" s="125"/>
      <c r="F19" s="10"/>
      <c r="G19" s="70"/>
      <c r="H19" s="10"/>
    </row>
    <row x14ac:dyDescent="0.25" r="20" customHeight="1" ht="21.75">
      <c r="A20" s="126" t="s">
        <v>346</v>
      </c>
      <c r="B20" s="56" t="s">
        <v>353</v>
      </c>
      <c r="C20" s="56"/>
      <c r="D20" s="127"/>
      <c r="E20" s="125"/>
      <c r="F20" s="10"/>
      <c r="G20" s="70"/>
      <c r="H20" s="10"/>
    </row>
    <row x14ac:dyDescent="0.25" r="21" customHeight="1" ht="21.75">
      <c r="A21" s="126" t="s">
        <v>346</v>
      </c>
      <c r="B21" s="56" t="s">
        <v>354</v>
      </c>
      <c r="C21" s="56"/>
      <c r="D21" s="127"/>
      <c r="E21" s="125"/>
      <c r="F21" s="10"/>
      <c r="G21" s="70"/>
      <c r="H21" s="10"/>
    </row>
    <row x14ac:dyDescent="0.25" r="22" customHeight="1" ht="21.75">
      <c r="A22" s="99"/>
      <c r="B22" s="30"/>
      <c r="C22" s="30"/>
      <c r="D22" s="100"/>
      <c r="E22" s="99"/>
      <c r="F22" s="13"/>
      <c r="G22" s="41"/>
      <c r="H22" s="13"/>
    </row>
    <row x14ac:dyDescent="0.25" r="23" customHeight="1" ht="21.75">
      <c r="A23" s="45" t="s">
        <v>355</v>
      </c>
      <c r="B23" s="113"/>
      <c r="C23" s="113"/>
      <c r="D23" s="114"/>
      <c r="E23" s="115"/>
      <c r="F23" s="45"/>
      <c r="G23" s="46"/>
      <c r="H23" s="45"/>
    </row>
    <row x14ac:dyDescent="0.25" r="24" customHeight="1" ht="21.75">
      <c r="A24" s="35" t="s">
        <v>356</v>
      </c>
      <c r="B24" s="128"/>
      <c r="C24" s="128"/>
      <c r="D24" s="129"/>
      <c r="E24" s="130"/>
      <c r="F24" s="35"/>
      <c r="G24" s="131"/>
      <c r="H24" s="35"/>
    </row>
    <row x14ac:dyDescent="0.25" r="25" customHeight="1" ht="21.75">
      <c r="A25" s="10" t="s">
        <v>357</v>
      </c>
      <c r="B25" s="56"/>
      <c r="C25" s="56"/>
      <c r="D25" s="127"/>
      <c r="E25" s="125"/>
      <c r="F25" s="10"/>
      <c r="G25" s="70"/>
      <c r="H25" s="10"/>
    </row>
    <row x14ac:dyDescent="0.25" r="26" customHeight="1" ht="21.75">
      <c r="A26" s="35" t="s">
        <v>358</v>
      </c>
      <c r="B26" s="128"/>
      <c r="C26" s="128"/>
      <c r="D26" s="129"/>
      <c r="E26" s="130"/>
      <c r="F26" s="35"/>
      <c r="G26" s="131"/>
      <c r="H26" s="35"/>
    </row>
    <row x14ac:dyDescent="0.25" r="27" customHeight="1" ht="21.75">
      <c r="A27" s="10" t="s">
        <v>359</v>
      </c>
      <c r="B27" s="56"/>
      <c r="C27" s="56"/>
      <c r="D27" s="127"/>
      <c r="E27" s="125"/>
      <c r="F27" s="10"/>
      <c r="G27" s="70"/>
      <c r="H27" s="10"/>
    </row>
    <row x14ac:dyDescent="0.25" r="28" customHeight="1" ht="21.75">
      <c r="A28" s="35" t="s">
        <v>360</v>
      </c>
      <c r="B28" s="128"/>
      <c r="C28" s="128"/>
      <c r="D28" s="129"/>
      <c r="E28" s="130"/>
      <c r="F28" s="35"/>
      <c r="G28" s="131"/>
      <c r="H28" s="35"/>
    </row>
    <row x14ac:dyDescent="0.25" r="29" customHeight="1" ht="21.75">
      <c r="A29" s="99"/>
      <c r="B29" s="30"/>
      <c r="C29" s="30"/>
      <c r="D29" s="100"/>
      <c r="E29" s="99"/>
      <c r="F29" s="13"/>
      <c r="G29" s="41"/>
      <c r="H29" s="13"/>
    </row>
    <row x14ac:dyDescent="0.25" r="30" customHeight="1" ht="21.75">
      <c r="A30" s="19" t="s">
        <v>361</v>
      </c>
      <c r="B30" s="37"/>
      <c r="C30" s="37"/>
      <c r="D30" s="132"/>
      <c r="E30" s="133"/>
      <c r="F30" s="19"/>
      <c r="G30" s="71"/>
      <c r="H30" s="19"/>
    </row>
  </sheetData>
  <mergeCells count="28">
    <mergeCell ref="A1:H1"/>
    <mergeCell ref="A2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A13:H13"/>
    <mergeCell ref="B14:H14"/>
    <mergeCell ref="B15:H15"/>
    <mergeCell ref="B16:H16"/>
    <mergeCell ref="B17:H17"/>
    <mergeCell ref="B18:H18"/>
    <mergeCell ref="B19:H19"/>
    <mergeCell ref="B20:H20"/>
    <mergeCell ref="B21:H21"/>
    <mergeCell ref="A23:H23"/>
    <mergeCell ref="A24:H24"/>
    <mergeCell ref="A25:H25"/>
    <mergeCell ref="A26:H26"/>
    <mergeCell ref="A27:H27"/>
    <mergeCell ref="A28:H28"/>
    <mergeCell ref="A30:H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4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38" width="5.005" customWidth="1" bestFit="1"/>
    <col min="2" max="2" style="12" width="28.005" customWidth="1" bestFit="1"/>
    <col min="3" max="3" style="12" width="16.005" customWidth="1" bestFit="1"/>
    <col min="4" max="4" style="12" width="28.005" customWidth="1" bestFit="1"/>
    <col min="5" max="5" style="12" width="2.2907142857142855" customWidth="1" bestFit="1"/>
    <col min="6" max="6" style="12" width="12.005" customWidth="1" bestFit="1"/>
    <col min="7" max="7" style="50" width="14.005" customWidth="1" bestFit="1"/>
    <col min="8" max="8" style="12" width="16.005" customWidth="1" bestFit="1"/>
    <col min="9" max="9" style="73" width="14.005" customWidth="1" bestFit="1"/>
    <col min="10" max="10" style="38" width="15.862142857142858" customWidth="1" bestFit="1" hidden="1"/>
    <col min="11" max="11" style="12" width="15.862142857142858" customWidth="1" bestFit="1" hidden="1"/>
    <col min="12" max="12" style="12" width="14.005" customWidth="1" bestFit="1"/>
  </cols>
  <sheetData>
    <row x14ac:dyDescent="0.25" r="1" customHeight="1" ht="21.75">
      <c r="A1" s="26" t="s">
        <v>259</v>
      </c>
      <c r="B1" s="1"/>
      <c r="C1" s="1"/>
      <c r="D1" s="1"/>
      <c r="E1" s="1"/>
      <c r="F1" s="1"/>
      <c r="G1" s="39"/>
      <c r="H1" s="1"/>
      <c r="I1" s="58"/>
      <c r="J1" s="26"/>
      <c r="K1" s="1"/>
      <c r="L1" s="1"/>
    </row>
    <row x14ac:dyDescent="0.25" r="2" customHeight="1" ht="21.75">
      <c r="A2" s="27" t="s">
        <v>260</v>
      </c>
      <c r="B2" s="2"/>
      <c r="C2" s="2"/>
      <c r="D2" s="2"/>
      <c r="E2" s="2"/>
      <c r="F2" s="2"/>
      <c r="G2" s="40"/>
      <c r="H2" s="2"/>
      <c r="I2" s="59"/>
      <c r="J2" s="27"/>
      <c r="K2" s="2"/>
      <c r="L2" s="2"/>
    </row>
    <row x14ac:dyDescent="0.25" r="3" customHeight="1" ht="21.75">
      <c r="A3" s="74" t="s">
        <v>261</v>
      </c>
      <c r="B3" s="75"/>
      <c r="C3" s="76">
        <f>COUNTIF(G8:G22,"Done")&amp;" / 15"</f>
      </c>
      <c r="D3" s="13"/>
      <c r="E3" s="77" t="s">
        <v>262</v>
      </c>
      <c r="F3" s="77"/>
      <c r="G3" s="62">
        <f>SUM(J8:J22)</f>
      </c>
      <c r="H3" s="13"/>
      <c r="I3" s="78"/>
      <c r="J3" s="30"/>
      <c r="K3" s="13"/>
      <c r="L3" s="13"/>
    </row>
    <row x14ac:dyDescent="0.25" r="4" customHeight="1" ht="21.75">
      <c r="A4" s="30"/>
      <c r="B4" s="13"/>
      <c r="C4" s="13"/>
      <c r="D4" s="13"/>
      <c r="E4" s="13"/>
      <c r="F4" s="13"/>
      <c r="G4" s="41"/>
      <c r="H4" s="13"/>
      <c r="I4" s="78"/>
      <c r="J4" s="30"/>
      <c r="K4" s="13"/>
      <c r="L4" s="13"/>
    </row>
    <row x14ac:dyDescent="0.25" r="5" customHeight="1" ht="21.75">
      <c r="A5" s="30"/>
      <c r="B5" s="13"/>
      <c r="C5" s="13"/>
      <c r="D5" s="13"/>
      <c r="E5" s="13"/>
      <c r="F5" s="13"/>
      <c r="G5" s="41"/>
      <c r="H5" s="13"/>
      <c r="I5" s="78"/>
      <c r="J5" s="30"/>
      <c r="K5" s="13"/>
      <c r="L5" s="13"/>
    </row>
    <row x14ac:dyDescent="0.25" r="6" customHeight="1" ht="21.75">
      <c r="A6" s="30"/>
      <c r="B6" s="13"/>
      <c r="C6" s="13"/>
      <c r="D6" s="13"/>
      <c r="E6" s="13"/>
      <c r="F6" s="13"/>
      <c r="G6" s="41"/>
      <c r="H6" s="13"/>
      <c r="I6" s="78"/>
      <c r="J6" s="30"/>
      <c r="K6" s="13"/>
      <c r="L6" s="13"/>
    </row>
    <row x14ac:dyDescent="0.25" r="7" customHeight="1" ht="21.75">
      <c r="A7" s="66" t="s">
        <v>263</v>
      </c>
      <c r="B7" s="5" t="s">
        <v>264</v>
      </c>
      <c r="C7" s="5" t="s">
        <v>265</v>
      </c>
      <c r="D7" s="5" t="s">
        <v>266</v>
      </c>
      <c r="E7" s="5" t="s">
        <v>267</v>
      </c>
      <c r="F7" s="5" t="s">
        <v>268</v>
      </c>
      <c r="G7" s="67" t="s">
        <v>190</v>
      </c>
      <c r="H7" s="5" t="s">
        <v>269</v>
      </c>
      <c r="I7" s="68" t="s">
        <v>270</v>
      </c>
      <c r="J7" s="66" t="s">
        <v>191</v>
      </c>
      <c r="K7" s="5" t="s">
        <v>271</v>
      </c>
      <c r="L7" s="5" t="s">
        <v>272</v>
      </c>
    </row>
    <row x14ac:dyDescent="0.25" r="8" customHeight="1" ht="21.75">
      <c r="A8" s="32">
        <v>1</v>
      </c>
      <c r="B8" s="7" t="s">
        <v>273</v>
      </c>
      <c r="C8" s="7" t="s">
        <v>274</v>
      </c>
      <c r="D8" s="7" t="s">
        <v>275</v>
      </c>
      <c r="E8" s="7" t="s">
        <v>276</v>
      </c>
      <c r="F8" s="16" t="s">
        <v>277</v>
      </c>
      <c r="G8" s="79" t="s">
        <v>278</v>
      </c>
      <c r="H8" s="80" t="s">
        <v>48</v>
      </c>
      <c r="I8" s="81" t="s">
        <v>252</v>
      </c>
      <c r="J8" s="82">
        <v>1</v>
      </c>
      <c r="K8" s="8" t="s">
        <v>279</v>
      </c>
      <c r="L8" s="13" t="s">
        <v>48</v>
      </c>
    </row>
    <row x14ac:dyDescent="0.25" r="9" customHeight="1" ht="21.75">
      <c r="A9" s="33">
        <v>2</v>
      </c>
      <c r="B9" s="10" t="s">
        <v>280</v>
      </c>
      <c r="C9" s="10" t="s">
        <v>274</v>
      </c>
      <c r="D9" s="10" t="s">
        <v>281</v>
      </c>
      <c r="E9" s="10" t="s">
        <v>282</v>
      </c>
      <c r="F9" s="18" t="s">
        <v>5</v>
      </c>
      <c r="G9" s="83" t="s">
        <v>278</v>
      </c>
      <c r="H9" s="80" t="s">
        <v>48</v>
      </c>
      <c r="I9" s="81">
        <v>46266</v>
      </c>
      <c r="J9" s="30">
        <v>1</v>
      </c>
      <c r="K9" s="13"/>
      <c r="L9" s="13"/>
    </row>
    <row x14ac:dyDescent="0.25" r="10" customHeight="1" ht="21.75">
      <c r="A10" s="32">
        <v>3</v>
      </c>
      <c r="B10" s="7" t="s">
        <v>283</v>
      </c>
      <c r="C10" s="7" t="s">
        <v>274</v>
      </c>
      <c r="D10" s="7" t="s">
        <v>284</v>
      </c>
      <c r="E10" s="7" t="s">
        <v>285</v>
      </c>
      <c r="F10" s="16" t="s">
        <v>8</v>
      </c>
      <c r="G10" s="79" t="s">
        <v>195</v>
      </c>
      <c r="H10" s="80" t="s">
        <v>48</v>
      </c>
      <c r="I10" s="81">
        <v>46268</v>
      </c>
      <c r="J10" s="30"/>
      <c r="K10" s="13"/>
      <c r="L10" s="13"/>
    </row>
    <row x14ac:dyDescent="0.25" r="11" customHeight="1" ht="21.75">
      <c r="A11" s="33">
        <v>4</v>
      </c>
      <c r="B11" s="10" t="s">
        <v>286</v>
      </c>
      <c r="C11" s="10" t="s">
        <v>287</v>
      </c>
      <c r="D11" s="10" t="s">
        <v>288</v>
      </c>
      <c r="E11" s="10" t="s">
        <v>289</v>
      </c>
      <c r="F11" s="18" t="s">
        <v>5</v>
      </c>
      <c r="G11" s="83" t="s">
        <v>195</v>
      </c>
      <c r="H11" s="80" t="s">
        <v>48</v>
      </c>
      <c r="I11" s="81"/>
      <c r="J11" s="30"/>
      <c r="K11" s="13"/>
      <c r="L11" s="13"/>
    </row>
    <row x14ac:dyDescent="0.25" r="12" customHeight="1" ht="21.75">
      <c r="A12" s="32">
        <v>5</v>
      </c>
      <c r="B12" s="7" t="s">
        <v>290</v>
      </c>
      <c r="C12" s="7" t="s">
        <v>287</v>
      </c>
      <c r="D12" s="7" t="s">
        <v>291</v>
      </c>
      <c r="E12" s="7" t="s">
        <v>292</v>
      </c>
      <c r="F12" s="16" t="s">
        <v>13</v>
      </c>
      <c r="G12" s="79" t="s">
        <v>195</v>
      </c>
      <c r="H12" s="80"/>
      <c r="I12" s="81"/>
      <c r="J12" s="30"/>
      <c r="K12" s="13"/>
      <c r="L12" s="13"/>
    </row>
    <row x14ac:dyDescent="0.25" r="13" customHeight="1" ht="21.75">
      <c r="A13" s="33">
        <v>6</v>
      </c>
      <c r="B13" s="10" t="s">
        <v>293</v>
      </c>
      <c r="C13" s="10" t="s">
        <v>294</v>
      </c>
      <c r="D13" s="10" t="s">
        <v>295</v>
      </c>
      <c r="E13" s="10" t="s">
        <v>296</v>
      </c>
      <c r="F13" s="18" t="s">
        <v>5</v>
      </c>
      <c r="G13" s="83" t="s">
        <v>195</v>
      </c>
      <c r="H13" s="80"/>
      <c r="I13" s="81"/>
      <c r="J13" s="30"/>
      <c r="K13" s="13"/>
      <c r="L13" s="13"/>
    </row>
    <row x14ac:dyDescent="0.25" r="14" customHeight="1" ht="21.75">
      <c r="A14" s="32">
        <v>7</v>
      </c>
      <c r="B14" s="7" t="s">
        <v>297</v>
      </c>
      <c r="C14" s="7" t="s">
        <v>298</v>
      </c>
      <c r="D14" s="7" t="s">
        <v>299</v>
      </c>
      <c r="E14" s="7" t="s">
        <v>300</v>
      </c>
      <c r="F14" s="16" t="s">
        <v>17</v>
      </c>
      <c r="G14" s="79" t="s">
        <v>195</v>
      </c>
      <c r="H14" s="80"/>
      <c r="I14" s="81"/>
      <c r="J14" s="30"/>
      <c r="K14" s="13"/>
      <c r="L14" s="13"/>
    </row>
    <row x14ac:dyDescent="0.25" r="15" customHeight="1" ht="21.75">
      <c r="A15" s="33">
        <v>8</v>
      </c>
      <c r="B15" s="10" t="s">
        <v>301</v>
      </c>
      <c r="C15" s="10" t="s">
        <v>302</v>
      </c>
      <c r="D15" s="10" t="s">
        <v>303</v>
      </c>
      <c r="E15" s="10" t="s">
        <v>304</v>
      </c>
      <c r="F15" s="18" t="s">
        <v>305</v>
      </c>
      <c r="G15" s="83" t="s">
        <v>195</v>
      </c>
      <c r="H15" s="80"/>
      <c r="I15" s="81"/>
      <c r="J15" s="30"/>
      <c r="K15" s="13"/>
      <c r="L15" s="13"/>
    </row>
    <row x14ac:dyDescent="0.25" r="16" customHeight="1" ht="21.75">
      <c r="A16" s="32">
        <v>9</v>
      </c>
      <c r="B16" s="7" t="s">
        <v>87</v>
      </c>
      <c r="C16" s="7" t="s">
        <v>302</v>
      </c>
      <c r="D16" s="7" t="s">
        <v>306</v>
      </c>
      <c r="E16" s="7" t="s">
        <v>307</v>
      </c>
      <c r="F16" s="16" t="s">
        <v>21</v>
      </c>
      <c r="G16" s="79" t="s">
        <v>195</v>
      </c>
      <c r="H16" s="80"/>
      <c r="I16" s="81"/>
      <c r="J16" s="30"/>
      <c r="K16" s="13"/>
      <c r="L16" s="13"/>
    </row>
    <row x14ac:dyDescent="0.25" r="17" customHeight="1" ht="21.75">
      <c r="A17" s="33">
        <v>10</v>
      </c>
      <c r="B17" s="10" t="s">
        <v>91</v>
      </c>
      <c r="C17" s="10" t="s">
        <v>302</v>
      </c>
      <c r="D17" s="10" t="s">
        <v>308</v>
      </c>
      <c r="E17" s="10" t="s">
        <v>309</v>
      </c>
      <c r="F17" s="18" t="s">
        <v>21</v>
      </c>
      <c r="G17" s="83" t="s">
        <v>195</v>
      </c>
      <c r="H17" s="80"/>
      <c r="I17" s="81"/>
      <c r="J17" s="30"/>
      <c r="K17" s="13"/>
      <c r="L17" s="13"/>
    </row>
    <row x14ac:dyDescent="0.25" r="18" customHeight="1" ht="21.75">
      <c r="A18" s="32">
        <v>11</v>
      </c>
      <c r="B18" s="7" t="s">
        <v>310</v>
      </c>
      <c r="C18" s="7" t="s">
        <v>311</v>
      </c>
      <c r="D18" s="7" t="s">
        <v>312</v>
      </c>
      <c r="E18" s="7" t="s">
        <v>313</v>
      </c>
      <c r="F18" s="16" t="s">
        <v>13</v>
      </c>
      <c r="G18" s="79" t="s">
        <v>195</v>
      </c>
      <c r="H18" s="80"/>
      <c r="I18" s="81"/>
      <c r="J18" s="30"/>
      <c r="K18" s="13"/>
      <c r="L18" s="13"/>
    </row>
    <row x14ac:dyDescent="0.25" r="19" customHeight="1" ht="21.75">
      <c r="A19" s="33">
        <v>12</v>
      </c>
      <c r="B19" s="10" t="s">
        <v>314</v>
      </c>
      <c r="C19" s="10" t="s">
        <v>315</v>
      </c>
      <c r="D19" s="10" t="s">
        <v>316</v>
      </c>
      <c r="E19" s="10" t="s">
        <v>317</v>
      </c>
      <c r="F19" s="18" t="s">
        <v>318</v>
      </c>
      <c r="G19" s="83" t="s">
        <v>195</v>
      </c>
      <c r="H19" s="80"/>
      <c r="I19" s="81"/>
      <c r="J19" s="30"/>
      <c r="K19" s="13"/>
      <c r="L19" s="13"/>
    </row>
    <row x14ac:dyDescent="0.25" r="20" customHeight="1" ht="21.75">
      <c r="A20" s="32">
        <v>13</v>
      </c>
      <c r="B20" s="7" t="s">
        <v>319</v>
      </c>
      <c r="C20" s="7" t="s">
        <v>315</v>
      </c>
      <c r="D20" s="7" t="s">
        <v>320</v>
      </c>
      <c r="E20" s="7" t="s">
        <v>321</v>
      </c>
      <c r="F20" s="16" t="s">
        <v>29</v>
      </c>
      <c r="G20" s="79" t="s">
        <v>195</v>
      </c>
      <c r="H20" s="80"/>
      <c r="I20" s="81"/>
      <c r="J20" s="30"/>
      <c r="K20" s="13"/>
      <c r="L20" s="13"/>
    </row>
    <row x14ac:dyDescent="0.25" r="21" customHeight="1" ht="21.75">
      <c r="A21" s="33">
        <v>14</v>
      </c>
      <c r="B21" s="10" t="s">
        <v>322</v>
      </c>
      <c r="C21" s="10" t="s">
        <v>323</v>
      </c>
      <c r="D21" s="10" t="s">
        <v>324</v>
      </c>
      <c r="E21" s="10" t="s">
        <v>325</v>
      </c>
      <c r="F21" s="18" t="s">
        <v>326</v>
      </c>
      <c r="G21" s="83" t="s">
        <v>195</v>
      </c>
      <c r="H21" s="80"/>
      <c r="I21" s="81"/>
      <c r="J21" s="30"/>
      <c r="K21" s="13"/>
      <c r="L21" s="13"/>
    </row>
    <row x14ac:dyDescent="0.25" r="22" customHeight="1" ht="21.75">
      <c r="A22" s="32">
        <v>15</v>
      </c>
      <c r="B22" s="7" t="s">
        <v>327</v>
      </c>
      <c r="C22" s="7" t="s">
        <v>328</v>
      </c>
      <c r="D22" s="7" t="s">
        <v>329</v>
      </c>
      <c r="E22" s="7" t="s">
        <v>330</v>
      </c>
      <c r="F22" s="16" t="s">
        <v>331</v>
      </c>
      <c r="G22" s="79" t="s">
        <v>195</v>
      </c>
      <c r="H22" s="80"/>
      <c r="I22" s="81"/>
      <c r="J22" s="30"/>
      <c r="K22" s="13"/>
      <c r="L22" s="13"/>
    </row>
    <row x14ac:dyDescent="0.25" r="23" customHeight="1" ht="21.75">
      <c r="A23" s="30"/>
      <c r="B23" s="13"/>
      <c r="C23" s="13"/>
      <c r="D23" s="13"/>
      <c r="E23" s="13"/>
      <c r="F23" s="13"/>
      <c r="G23" s="41"/>
      <c r="H23" s="13"/>
      <c r="I23" s="78"/>
      <c r="J23" s="30"/>
      <c r="K23" s="13"/>
      <c r="L23" s="13"/>
    </row>
    <row x14ac:dyDescent="0.25" r="24" customHeight="1" ht="21.75">
      <c r="A24" s="37" t="s">
        <v>332</v>
      </c>
      <c r="B24" s="19"/>
      <c r="C24" s="19"/>
      <c r="D24" s="19"/>
      <c r="E24" s="19"/>
      <c r="F24" s="19"/>
      <c r="G24" s="71"/>
      <c r="H24" s="19"/>
      <c r="I24" s="72"/>
      <c r="J24" s="37"/>
      <c r="K24" s="19"/>
      <c r="L24" s="19"/>
    </row>
  </sheetData>
  <mergeCells count="5">
    <mergeCell ref="A1:L1"/>
    <mergeCell ref="A2:L2"/>
    <mergeCell ref="A3:B3"/>
    <mergeCell ref="E3:F3"/>
    <mergeCell ref="A24:L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0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12" width="14.005" customWidth="1" bestFit="1"/>
    <col min="2" max="2" style="38" width="12.005" customWidth="1" bestFit="1"/>
    <col min="3" max="3" style="38" width="18.005" customWidth="1" bestFit="1"/>
    <col min="4" max="4" style="50" width="36.29071428571429" customWidth="1" bestFit="1"/>
    <col min="5" max="5" style="12" width="22.005" customWidth="1" bestFit="1"/>
    <col min="6" max="6" style="73" width="40.005" customWidth="1" bestFit="1"/>
    <col min="7" max="7" style="50" width="10.005" customWidth="1" bestFit="1"/>
    <col min="8" max="8" style="12" width="28.005" customWidth="1" bestFit="1"/>
  </cols>
  <sheetData>
    <row x14ac:dyDescent="0.25" r="1" customHeight="1" ht="21.75">
      <c r="A1" s="1" t="s">
        <v>241</v>
      </c>
      <c r="B1" s="26"/>
      <c r="C1" s="26"/>
      <c r="D1" s="39"/>
      <c r="E1" s="1"/>
      <c r="F1" s="58"/>
      <c r="G1" s="39"/>
      <c r="H1" s="1"/>
    </row>
    <row x14ac:dyDescent="0.25" r="2" customHeight="1" ht="21.75">
      <c r="A2" s="2" t="s">
        <v>242</v>
      </c>
      <c r="B2" s="27"/>
      <c r="C2" s="27"/>
      <c r="D2" s="40"/>
      <c r="E2" s="2"/>
      <c r="F2" s="59"/>
      <c r="G2" s="40"/>
      <c r="H2" s="2"/>
    </row>
    <row x14ac:dyDescent="0.25" r="3" customHeight="1" ht="21.75">
      <c r="A3" s="21" t="s">
        <v>243</v>
      </c>
      <c r="B3" s="60">
        <f>COUNTA(A8:A200)</f>
      </c>
      <c r="C3" s="61" t="s">
        <v>244</v>
      </c>
      <c r="D3" s="62">
        <f>SUM(G8:G200)</f>
      </c>
      <c r="E3" s="63" t="s">
        <v>245</v>
      </c>
      <c r="F3" s="64">
        <f>IF(COUNTA(A8:A200)=0,"—",MAX(A8:A200))</f>
        <v>25568.791666666668</v>
      </c>
      <c r="G3" s="41"/>
      <c r="H3" s="13"/>
    </row>
    <row x14ac:dyDescent="0.25" r="4" customHeight="1" ht="21.75">
      <c r="A4" s="13"/>
      <c r="B4" s="30"/>
      <c r="C4" s="30"/>
      <c r="D4" s="41"/>
      <c r="E4" s="13"/>
      <c r="F4" s="65"/>
      <c r="G4" s="41"/>
      <c r="H4" s="13"/>
    </row>
    <row x14ac:dyDescent="0.25" r="5" customHeight="1" ht="21.75">
      <c r="A5" s="13"/>
      <c r="B5" s="30"/>
      <c r="C5" s="30"/>
      <c r="D5" s="41"/>
      <c r="E5" s="13"/>
      <c r="F5" s="65"/>
      <c r="G5" s="41"/>
      <c r="H5" s="13"/>
    </row>
    <row x14ac:dyDescent="0.25" r="6" customHeight="1" ht="21.75">
      <c r="A6" s="13"/>
      <c r="B6" s="30"/>
      <c r="C6" s="30"/>
      <c r="D6" s="41"/>
      <c r="E6" s="13"/>
      <c r="F6" s="65"/>
      <c r="G6" s="41"/>
      <c r="H6" s="13"/>
    </row>
    <row x14ac:dyDescent="0.25" r="7" customHeight="1" ht="21.75">
      <c r="A7" s="5" t="s">
        <v>212</v>
      </c>
      <c r="B7" s="66" t="s">
        <v>246</v>
      </c>
      <c r="C7" s="66" t="s">
        <v>247</v>
      </c>
      <c r="D7" s="67" t="s">
        <v>248</v>
      </c>
      <c r="E7" s="5" t="s">
        <v>249</v>
      </c>
      <c r="F7" s="68" t="s">
        <v>250</v>
      </c>
      <c r="G7" s="67" t="s">
        <v>191</v>
      </c>
      <c r="H7" s="5" t="s">
        <v>251</v>
      </c>
    </row>
    <row x14ac:dyDescent="0.25" r="8" customHeight="1" ht="21.75">
      <c r="A8" s="7" t="s">
        <v>252</v>
      </c>
      <c r="B8" s="57">
        <f>IF(A8="","",COUNTA($A$8:A8))</f>
      </c>
      <c r="C8" s="57">
        <v>1</v>
      </c>
      <c r="D8" s="69" t="s">
        <v>253</v>
      </c>
      <c r="E8" s="7" t="s">
        <v>48</v>
      </c>
      <c r="F8" s="52"/>
      <c r="G8" s="69">
        <v>1.5</v>
      </c>
      <c r="H8" s="7" t="s">
        <v>254</v>
      </c>
    </row>
    <row x14ac:dyDescent="0.25" r="9" customHeight="1" ht="21.75">
      <c r="A9" s="54">
        <v>46266</v>
      </c>
      <c r="B9" s="56">
        <f>IF(A9="","",COUNTA($A$8:A9))</f>
      </c>
      <c r="C9" s="56">
        <v>2</v>
      </c>
      <c r="D9" s="70" t="s">
        <v>255</v>
      </c>
      <c r="E9" s="10" t="s">
        <v>48</v>
      </c>
      <c r="F9" s="54" t="s">
        <v>256</v>
      </c>
      <c r="G9" s="70">
        <v>1.5</v>
      </c>
      <c r="H9" s="10" t="s">
        <v>257</v>
      </c>
    </row>
    <row x14ac:dyDescent="0.25" r="10" customHeight="1" ht="21.75">
      <c r="A10" s="52">
        <v>46268</v>
      </c>
      <c r="B10" s="57">
        <f>IF(A10="","",COUNTA($A$8:A10))</f>
      </c>
      <c r="C10" s="57"/>
      <c r="D10" s="69"/>
      <c r="E10" s="7"/>
      <c r="F10" s="52"/>
      <c r="G10" s="69"/>
      <c r="H10" s="7"/>
    </row>
    <row x14ac:dyDescent="0.25" r="11" customHeight="1" ht="21.75">
      <c r="A11" s="54"/>
      <c r="B11" s="56">
        <f>IF(A11="","",COUNTA($A$8:A11))</f>
      </c>
      <c r="C11" s="56"/>
      <c r="D11" s="70"/>
      <c r="E11" s="10"/>
      <c r="F11" s="54"/>
      <c r="G11" s="70"/>
      <c r="H11" s="10"/>
    </row>
    <row x14ac:dyDescent="0.25" r="12" customHeight="1" ht="21.75">
      <c r="A12" s="52"/>
      <c r="B12" s="57">
        <f>IF(A12="","",COUNTA($A$8:A12))</f>
      </c>
      <c r="C12" s="57"/>
      <c r="D12" s="69"/>
      <c r="E12" s="7"/>
      <c r="F12" s="52"/>
      <c r="G12" s="69"/>
      <c r="H12" s="7"/>
    </row>
    <row x14ac:dyDescent="0.25" r="13" customHeight="1" ht="21.75">
      <c r="A13" s="54"/>
      <c r="B13" s="56">
        <f>IF(A13="","",COUNTA($A$8:A13))</f>
      </c>
      <c r="C13" s="56"/>
      <c r="D13" s="70"/>
      <c r="E13" s="10"/>
      <c r="F13" s="54"/>
      <c r="G13" s="70"/>
      <c r="H13" s="10"/>
    </row>
    <row x14ac:dyDescent="0.25" r="14" customHeight="1" ht="21.75">
      <c r="A14" s="52"/>
      <c r="B14" s="57">
        <f>IF(A14="","",COUNTA($A$8:A14))</f>
      </c>
      <c r="C14" s="57"/>
      <c r="D14" s="69"/>
      <c r="E14" s="7"/>
      <c r="F14" s="52"/>
      <c r="G14" s="69"/>
      <c r="H14" s="7"/>
    </row>
    <row x14ac:dyDescent="0.25" r="15" customHeight="1" ht="21.75">
      <c r="A15" s="54"/>
      <c r="B15" s="56">
        <f>IF(A15="","",COUNTA($A$8:A15))</f>
      </c>
      <c r="C15" s="56"/>
      <c r="D15" s="70"/>
      <c r="E15" s="10"/>
      <c r="F15" s="54"/>
      <c r="G15" s="70"/>
      <c r="H15" s="10"/>
    </row>
    <row x14ac:dyDescent="0.25" r="16" customHeight="1" ht="21.75">
      <c r="A16" s="52"/>
      <c r="B16" s="57">
        <f>IF(A16="","",COUNTA($A$8:A16))</f>
      </c>
      <c r="C16" s="57"/>
      <c r="D16" s="69"/>
      <c r="E16" s="7"/>
      <c r="F16" s="52"/>
      <c r="G16" s="69"/>
      <c r="H16" s="7"/>
    </row>
    <row x14ac:dyDescent="0.25" r="17" customHeight="1" ht="21.75">
      <c r="A17" s="54"/>
      <c r="B17" s="56">
        <f>IF(A17="","",COUNTA($A$8:A17))</f>
      </c>
      <c r="C17" s="56"/>
      <c r="D17" s="70"/>
      <c r="E17" s="10"/>
      <c r="F17" s="54"/>
      <c r="G17" s="70"/>
      <c r="H17" s="10"/>
    </row>
    <row x14ac:dyDescent="0.25" r="18" customHeight="1" ht="21.75">
      <c r="A18" s="52"/>
      <c r="B18" s="57">
        <f>IF(A18="","",COUNTA($A$8:A18))</f>
      </c>
      <c r="C18" s="57"/>
      <c r="D18" s="69"/>
      <c r="E18" s="7"/>
      <c r="F18" s="52"/>
      <c r="G18" s="69"/>
      <c r="H18" s="7"/>
    </row>
    <row x14ac:dyDescent="0.25" r="19" customHeight="1" ht="21.75">
      <c r="A19" s="54"/>
      <c r="B19" s="56">
        <f>IF(A19="","",COUNTA($A$8:A19))</f>
      </c>
      <c r="C19" s="56"/>
      <c r="D19" s="70"/>
      <c r="E19" s="10"/>
      <c r="F19" s="54"/>
      <c r="G19" s="70"/>
      <c r="H19" s="10"/>
    </row>
    <row x14ac:dyDescent="0.25" r="20" customHeight="1" ht="21.75">
      <c r="A20" s="52"/>
      <c r="B20" s="57">
        <f>IF(A20="","",COUNTA($A$8:A20))</f>
      </c>
      <c r="C20" s="57"/>
      <c r="D20" s="69"/>
      <c r="E20" s="7"/>
      <c r="F20" s="52"/>
      <c r="G20" s="69"/>
      <c r="H20" s="7"/>
    </row>
    <row x14ac:dyDescent="0.25" r="21" customHeight="1" ht="21.75">
      <c r="A21" s="54"/>
      <c r="B21" s="56">
        <f>IF(A21="","",COUNTA($A$8:A21))</f>
      </c>
      <c r="C21" s="56"/>
      <c r="D21" s="70"/>
      <c r="E21" s="10"/>
      <c r="F21" s="54"/>
      <c r="G21" s="70"/>
      <c r="H21" s="10"/>
    </row>
    <row x14ac:dyDescent="0.25" r="22" customHeight="1" ht="21.75">
      <c r="A22" s="52"/>
      <c r="B22" s="57">
        <f>IF(A22="","",COUNTA($A$8:A22))</f>
      </c>
      <c r="C22" s="57"/>
      <c r="D22" s="69"/>
      <c r="E22" s="7"/>
      <c r="F22" s="52"/>
      <c r="G22" s="69"/>
      <c r="H22" s="7"/>
    </row>
    <row x14ac:dyDescent="0.25" r="23" customHeight="1" ht="21.75">
      <c r="A23" s="54"/>
      <c r="B23" s="56">
        <f>IF(A23="","",COUNTA($A$8:A23))</f>
      </c>
      <c r="C23" s="56"/>
      <c r="D23" s="70"/>
      <c r="E23" s="10"/>
      <c r="F23" s="54"/>
      <c r="G23" s="70"/>
      <c r="H23" s="10"/>
    </row>
    <row x14ac:dyDescent="0.25" r="24" customHeight="1" ht="21.75">
      <c r="A24" s="52"/>
      <c r="B24" s="57">
        <f>IF(A24="","",COUNTA($A$8:A24))</f>
      </c>
      <c r="C24" s="57"/>
      <c r="D24" s="69"/>
      <c r="E24" s="7"/>
      <c r="F24" s="52"/>
      <c r="G24" s="69"/>
      <c r="H24" s="7"/>
    </row>
    <row x14ac:dyDescent="0.25" r="25" customHeight="1" ht="21.75">
      <c r="A25" s="54"/>
      <c r="B25" s="56">
        <f>IF(A25="","",COUNTA($A$8:A25))</f>
      </c>
      <c r="C25" s="56"/>
      <c r="D25" s="70"/>
      <c r="E25" s="10"/>
      <c r="F25" s="54"/>
      <c r="G25" s="70"/>
      <c r="H25" s="10"/>
    </row>
    <row x14ac:dyDescent="0.25" r="26" customHeight="1" ht="21.75">
      <c r="A26" s="52"/>
      <c r="B26" s="57">
        <f>IF(A26="","",COUNTA($A$8:A26))</f>
      </c>
      <c r="C26" s="57"/>
      <c r="D26" s="69"/>
      <c r="E26" s="7"/>
      <c r="F26" s="52"/>
      <c r="G26" s="69"/>
      <c r="H26" s="7"/>
    </row>
    <row x14ac:dyDescent="0.25" r="27" customHeight="1" ht="21.75">
      <c r="A27" s="54"/>
      <c r="B27" s="56">
        <f>IF(A27="","",COUNTA($A$8:A27))</f>
      </c>
      <c r="C27" s="56"/>
      <c r="D27" s="70"/>
      <c r="E27" s="10"/>
      <c r="F27" s="54"/>
      <c r="G27" s="70"/>
      <c r="H27" s="10"/>
    </row>
    <row x14ac:dyDescent="0.25" r="28" customHeight="1" ht="21.75">
      <c r="A28" s="52"/>
      <c r="B28" s="57">
        <f>IF(A28="","",COUNTA($A$8:A28))</f>
      </c>
      <c r="C28" s="57"/>
      <c r="D28" s="69"/>
      <c r="E28" s="7"/>
      <c r="F28" s="52"/>
      <c r="G28" s="69"/>
      <c r="H28" s="7"/>
    </row>
    <row x14ac:dyDescent="0.25" r="29" customHeight="1" ht="21.75">
      <c r="A29" s="54"/>
      <c r="B29" s="56">
        <f>IF(A29="","",COUNTA($A$8:A29))</f>
      </c>
      <c r="C29" s="56"/>
      <c r="D29" s="70"/>
      <c r="E29" s="10"/>
      <c r="F29" s="54"/>
      <c r="G29" s="70"/>
      <c r="H29" s="10"/>
    </row>
    <row x14ac:dyDescent="0.25" r="30" customHeight="1" ht="21.75">
      <c r="A30" s="52"/>
      <c r="B30" s="57">
        <f>IF(A30="","",COUNTA($A$8:A30))</f>
      </c>
      <c r="C30" s="57"/>
      <c r="D30" s="69"/>
      <c r="E30" s="7"/>
      <c r="F30" s="52"/>
      <c r="G30" s="69"/>
      <c r="H30" s="7"/>
    </row>
    <row x14ac:dyDescent="0.25" r="31" customHeight="1" ht="21.75">
      <c r="A31" s="54"/>
      <c r="B31" s="56">
        <f>IF(A31="","",COUNTA($A$8:A31))</f>
      </c>
      <c r="C31" s="56"/>
      <c r="D31" s="70"/>
      <c r="E31" s="10"/>
      <c r="F31" s="54"/>
      <c r="G31" s="70"/>
      <c r="H31" s="10"/>
    </row>
    <row x14ac:dyDescent="0.25" r="32" customHeight="1" ht="21.75">
      <c r="A32" s="52"/>
      <c r="B32" s="57">
        <f>IF(A32="","",COUNTA($A$8:A32))</f>
      </c>
      <c r="C32" s="57"/>
      <c r="D32" s="69"/>
      <c r="E32" s="7"/>
      <c r="F32" s="52"/>
      <c r="G32" s="69"/>
      <c r="H32" s="7"/>
    </row>
    <row x14ac:dyDescent="0.25" r="33" customHeight="1" ht="21.75">
      <c r="A33" s="54"/>
      <c r="B33" s="56">
        <f>IF(A33="","",COUNTA($A$8:A33))</f>
      </c>
      <c r="C33" s="56"/>
      <c r="D33" s="70"/>
      <c r="E33" s="10"/>
      <c r="F33" s="54"/>
      <c r="G33" s="70"/>
      <c r="H33" s="10"/>
    </row>
    <row x14ac:dyDescent="0.25" r="34" customHeight="1" ht="21.75">
      <c r="A34" s="52"/>
      <c r="B34" s="57">
        <f>IF(A34="","",COUNTA($A$8:A34))</f>
      </c>
      <c r="C34" s="57"/>
      <c r="D34" s="69"/>
      <c r="E34" s="7"/>
      <c r="F34" s="52"/>
      <c r="G34" s="69"/>
      <c r="H34" s="7"/>
    </row>
    <row x14ac:dyDescent="0.25" r="35" customHeight="1" ht="21.75">
      <c r="A35" s="54"/>
      <c r="B35" s="56">
        <f>IF(A35="","",COUNTA($A$8:A35))</f>
      </c>
      <c r="C35" s="56"/>
      <c r="D35" s="70"/>
      <c r="E35" s="10"/>
      <c r="F35" s="54"/>
      <c r="G35" s="70"/>
      <c r="H35" s="10"/>
    </row>
    <row x14ac:dyDescent="0.25" r="36" customHeight="1" ht="21.75">
      <c r="A36" s="52"/>
      <c r="B36" s="57">
        <f>IF(A36="","",COUNTA($A$8:A36))</f>
      </c>
      <c r="C36" s="57"/>
      <c r="D36" s="69"/>
      <c r="E36" s="7"/>
      <c r="F36" s="52"/>
      <c r="G36" s="69"/>
      <c r="H36" s="7"/>
    </row>
    <row x14ac:dyDescent="0.25" r="37" customHeight="1" ht="21.75">
      <c r="A37" s="54"/>
      <c r="B37" s="56">
        <f>IF(A37="","",COUNTA($A$8:A37))</f>
      </c>
      <c r="C37" s="56"/>
      <c r="D37" s="70"/>
      <c r="E37" s="10"/>
      <c r="F37" s="54"/>
      <c r="G37" s="70"/>
      <c r="H37" s="10"/>
    </row>
    <row x14ac:dyDescent="0.25" r="38" customHeight="1" ht="21.75">
      <c r="A38" s="52"/>
      <c r="B38" s="57">
        <f>IF(A38="","",COUNTA($A$8:A38))</f>
      </c>
      <c r="C38" s="57"/>
      <c r="D38" s="69"/>
      <c r="E38" s="7"/>
      <c r="F38" s="52"/>
      <c r="G38" s="69"/>
      <c r="H38" s="7"/>
    </row>
    <row x14ac:dyDescent="0.25" r="39" customHeight="1" ht="21.75">
      <c r="A39" s="54"/>
      <c r="B39" s="56">
        <f>IF(A39="","",COUNTA($A$8:A39))</f>
      </c>
      <c r="C39" s="56"/>
      <c r="D39" s="70"/>
      <c r="E39" s="10"/>
      <c r="F39" s="54"/>
      <c r="G39" s="70"/>
      <c r="H39" s="10"/>
    </row>
    <row x14ac:dyDescent="0.25" r="40" customHeight="1" ht="21.75">
      <c r="A40" s="52"/>
      <c r="B40" s="57">
        <f>IF(A40="","",COUNTA($A$8:A40))</f>
      </c>
      <c r="C40" s="57"/>
      <c r="D40" s="69"/>
      <c r="E40" s="7"/>
      <c r="F40" s="52"/>
      <c r="G40" s="69"/>
      <c r="H40" s="7"/>
    </row>
    <row x14ac:dyDescent="0.25" r="41" customHeight="1" ht="21.75">
      <c r="A41" s="54"/>
      <c r="B41" s="56">
        <f>IF(A41="","",COUNTA($A$8:A41))</f>
      </c>
      <c r="C41" s="56"/>
      <c r="D41" s="70"/>
      <c r="E41" s="10"/>
      <c r="F41" s="54"/>
      <c r="G41" s="70"/>
      <c r="H41" s="10"/>
    </row>
    <row x14ac:dyDescent="0.25" r="42" customHeight="1" ht="21.75">
      <c r="A42" s="52"/>
      <c r="B42" s="57">
        <f>IF(A42="","",COUNTA($A$8:A42))</f>
      </c>
      <c r="C42" s="57"/>
      <c r="D42" s="69"/>
      <c r="E42" s="7"/>
      <c r="F42" s="52"/>
      <c r="G42" s="69"/>
      <c r="H42" s="7"/>
    </row>
    <row x14ac:dyDescent="0.25" r="43" customHeight="1" ht="21.75">
      <c r="A43" s="54"/>
      <c r="B43" s="56">
        <f>IF(A43="","",COUNTA($A$8:A43))</f>
      </c>
      <c r="C43" s="56"/>
      <c r="D43" s="70"/>
      <c r="E43" s="10"/>
      <c r="F43" s="54"/>
      <c r="G43" s="70"/>
      <c r="H43" s="10"/>
    </row>
    <row x14ac:dyDescent="0.25" r="44" customHeight="1" ht="21.75">
      <c r="A44" s="52"/>
      <c r="B44" s="57">
        <f>IF(A44="","",COUNTA($A$8:A44))</f>
      </c>
      <c r="C44" s="57"/>
      <c r="D44" s="69"/>
      <c r="E44" s="7"/>
      <c r="F44" s="52"/>
      <c r="G44" s="69"/>
      <c r="H44" s="7"/>
    </row>
    <row x14ac:dyDescent="0.25" r="45" customHeight="1" ht="21.75">
      <c r="A45" s="54"/>
      <c r="B45" s="56">
        <f>IF(A45="","",COUNTA($A$8:A45))</f>
      </c>
      <c r="C45" s="56"/>
      <c r="D45" s="70"/>
      <c r="E45" s="10"/>
      <c r="F45" s="54"/>
      <c r="G45" s="70"/>
      <c r="H45" s="10"/>
    </row>
    <row x14ac:dyDescent="0.25" r="46" customHeight="1" ht="21.75">
      <c r="A46" s="52"/>
      <c r="B46" s="57">
        <f>IF(A46="","",COUNTA($A$8:A46))</f>
      </c>
      <c r="C46" s="57"/>
      <c r="D46" s="69"/>
      <c r="E46" s="7"/>
      <c r="F46" s="52"/>
      <c r="G46" s="69"/>
      <c r="H46" s="7"/>
    </row>
    <row x14ac:dyDescent="0.25" r="47" customHeight="1" ht="21.75">
      <c r="A47" s="54"/>
      <c r="B47" s="56">
        <f>IF(A47="","",COUNTA($A$8:A47))</f>
      </c>
      <c r="C47" s="56"/>
      <c r="D47" s="70"/>
      <c r="E47" s="10"/>
      <c r="F47" s="54"/>
      <c r="G47" s="70"/>
      <c r="H47" s="10"/>
    </row>
    <row x14ac:dyDescent="0.25" r="48" customHeight="1" ht="21.75">
      <c r="A48" s="13"/>
      <c r="B48" s="30"/>
      <c r="C48" s="30"/>
      <c r="D48" s="41"/>
      <c r="E48" s="13"/>
      <c r="F48" s="65"/>
      <c r="G48" s="41"/>
      <c r="H48" s="13"/>
    </row>
    <row x14ac:dyDescent="0.25" r="49" customHeight="1" ht="21.75">
      <c r="A49" s="13"/>
      <c r="B49" s="30"/>
      <c r="C49" s="30"/>
      <c r="D49" s="41"/>
      <c r="E49" s="13"/>
      <c r="F49" s="65"/>
      <c r="G49" s="41"/>
      <c r="H49" s="13"/>
    </row>
    <row x14ac:dyDescent="0.25" r="50" customHeight="1" ht="21.75">
      <c r="A50" s="19" t="s">
        <v>258</v>
      </c>
      <c r="B50" s="37"/>
      <c r="C50" s="37"/>
      <c r="D50" s="71"/>
      <c r="E50" s="19"/>
      <c r="F50" s="72"/>
      <c r="G50" s="71"/>
      <c r="H50" s="19"/>
    </row>
  </sheetData>
  <mergeCells count="3">
    <mergeCell ref="A1:H1"/>
    <mergeCell ref="A2:H2"/>
    <mergeCell ref="A50:H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 tabSelected="1">
      <pane state="frozen" activePane="bottomLeft" topLeftCell="A8" ySplit="7" xSplit="0"/>
    </sheetView>
  </sheetViews>
  <sheetFormatPr defaultRowHeight="15" x14ac:dyDescent="0.25"/>
  <cols>
    <col min="1" max="1" style="12" width="14.005" customWidth="1" bestFit="1"/>
    <col min="2" max="2" style="38" width="12.005" customWidth="1" bestFit="1"/>
    <col min="3" max="3" style="12" width="59.005" customWidth="1" bestFit="1"/>
    <col min="4" max="4" style="12" width="36.005" customWidth="1" bestFit="1"/>
    <col min="5" max="5" style="12" width="23.14785714285714" customWidth="1" bestFit="1"/>
    <col min="6" max="6" style="12" width="28.290714285714284" customWidth="1" bestFit="1"/>
    <col min="7" max="7" style="12" width="28.005" customWidth="1" bestFit="1"/>
  </cols>
  <sheetData>
    <row x14ac:dyDescent="0.25" r="1" customHeight="1" ht="21.75">
      <c r="A1" s="1" t="s">
        <v>210</v>
      </c>
      <c r="B1" s="26"/>
      <c r="C1" s="1"/>
      <c r="D1" s="1"/>
      <c r="E1" s="1"/>
      <c r="F1" s="1"/>
      <c r="G1" s="1"/>
    </row>
    <row x14ac:dyDescent="0.25" r="2" customHeight="1" ht="21.75">
      <c r="A2" s="2" t="s">
        <v>211</v>
      </c>
      <c r="B2" s="27"/>
      <c r="C2" s="2"/>
      <c r="D2" s="2"/>
      <c r="E2" s="2"/>
      <c r="F2" s="2"/>
      <c r="G2" s="2"/>
    </row>
    <row x14ac:dyDescent="0.25" r="3" customHeight="1" ht="21.75">
      <c r="A3" s="42" t="s">
        <v>212</v>
      </c>
      <c r="B3" s="51" t="s">
        <v>213</v>
      </c>
      <c r="C3" s="42" t="s">
        <v>214</v>
      </c>
      <c r="D3" s="42" t="s">
        <v>215</v>
      </c>
      <c r="E3" s="42" t="s">
        <v>216</v>
      </c>
      <c r="F3" s="42" t="s">
        <v>217</v>
      </c>
      <c r="G3" s="42" t="s">
        <v>218</v>
      </c>
    </row>
    <row x14ac:dyDescent="0.25" r="4" customHeight="1" ht="66.75">
      <c r="A4" s="52"/>
      <c r="B4" s="53">
        <v>1</v>
      </c>
      <c r="C4" s="7" t="s">
        <v>219</v>
      </c>
      <c r="D4" s="7" t="s">
        <v>220</v>
      </c>
      <c r="E4" s="7" t="s">
        <v>221</v>
      </c>
      <c r="F4" s="7" t="s">
        <v>222</v>
      </c>
      <c r="G4" s="7"/>
    </row>
    <row x14ac:dyDescent="0.25" r="5" customHeight="1" ht="88.5">
      <c r="A5" s="54"/>
      <c r="B5" s="55">
        <v>2</v>
      </c>
      <c r="C5" s="10" t="s">
        <v>223</v>
      </c>
      <c r="D5" s="10" t="s">
        <v>224</v>
      </c>
      <c r="E5" s="10" t="s">
        <v>225</v>
      </c>
      <c r="F5" s="10" t="s">
        <v>226</v>
      </c>
      <c r="G5" s="10"/>
    </row>
    <row x14ac:dyDescent="0.25" r="6" customHeight="1" ht="54.75">
      <c r="A6" s="52"/>
      <c r="B6" s="53">
        <v>3</v>
      </c>
      <c r="C6" s="7" t="s">
        <v>227</v>
      </c>
      <c r="D6" s="7" t="s">
        <v>228</v>
      </c>
      <c r="E6" s="7"/>
      <c r="F6" s="7"/>
      <c r="G6" s="7"/>
    </row>
    <row x14ac:dyDescent="0.25" r="7" customHeight="1" ht="21.75">
      <c r="A7" s="54"/>
      <c r="B7" s="55">
        <v>4</v>
      </c>
      <c r="C7" s="10" t="s">
        <v>229</v>
      </c>
      <c r="D7" s="10"/>
      <c r="E7" s="10"/>
      <c r="F7" s="10"/>
      <c r="G7" s="10"/>
    </row>
    <row x14ac:dyDescent="0.25" r="8" customHeight="1" ht="21.75">
      <c r="A8" s="52"/>
      <c r="B8" s="53">
        <v>5</v>
      </c>
      <c r="C8" s="7" t="s">
        <v>230</v>
      </c>
      <c r="D8" s="7"/>
      <c r="E8" s="7"/>
      <c r="F8" s="7"/>
      <c r="G8" s="7"/>
    </row>
    <row x14ac:dyDescent="0.25" r="9" customHeight="1" ht="21.75">
      <c r="A9" s="54"/>
      <c r="B9" s="55">
        <v>6</v>
      </c>
      <c r="C9" s="10" t="s">
        <v>231</v>
      </c>
      <c r="D9" s="10"/>
      <c r="E9" s="10"/>
      <c r="F9" s="10"/>
      <c r="G9" s="10"/>
    </row>
    <row x14ac:dyDescent="0.25" r="10" customHeight="1" ht="21.75">
      <c r="A10" s="52"/>
      <c r="B10" s="53">
        <v>7</v>
      </c>
      <c r="C10" s="7" t="s">
        <v>232</v>
      </c>
      <c r="D10" s="7"/>
      <c r="E10" s="7"/>
      <c r="F10" s="7"/>
      <c r="G10" s="7"/>
    </row>
    <row x14ac:dyDescent="0.25" r="11" customHeight="1" ht="21.75">
      <c r="A11" s="54"/>
      <c r="B11" s="55">
        <v>8</v>
      </c>
      <c r="C11" s="10" t="s">
        <v>233</v>
      </c>
      <c r="D11" s="10"/>
      <c r="E11" s="10"/>
      <c r="F11" s="10"/>
      <c r="G11" s="10"/>
    </row>
    <row x14ac:dyDescent="0.25" r="12" customHeight="1" ht="21.75">
      <c r="A12" s="52"/>
      <c r="B12" s="53">
        <v>9</v>
      </c>
      <c r="C12" s="7" t="s">
        <v>234</v>
      </c>
      <c r="D12" s="7"/>
      <c r="E12" s="7"/>
      <c r="F12" s="7"/>
      <c r="G12" s="7"/>
    </row>
    <row x14ac:dyDescent="0.25" r="13" customHeight="1" ht="21.75">
      <c r="A13" s="54"/>
      <c r="B13" s="55">
        <v>10</v>
      </c>
      <c r="C13" s="10" t="s">
        <v>235</v>
      </c>
      <c r="D13" s="10"/>
      <c r="E13" s="10"/>
      <c r="F13" s="10"/>
      <c r="G13" s="10"/>
    </row>
    <row x14ac:dyDescent="0.25" r="14" customHeight="1" ht="21.75">
      <c r="A14" s="52"/>
      <c r="B14" s="53">
        <v>11</v>
      </c>
      <c r="C14" s="7" t="s">
        <v>236</v>
      </c>
      <c r="D14" s="7"/>
      <c r="E14" s="7"/>
      <c r="F14" s="7"/>
      <c r="G14" s="7"/>
    </row>
    <row x14ac:dyDescent="0.25" r="15" customHeight="1" ht="21.75">
      <c r="A15" s="54"/>
      <c r="B15" s="55">
        <v>12</v>
      </c>
      <c r="C15" s="10" t="s">
        <v>237</v>
      </c>
      <c r="D15" s="10"/>
      <c r="E15" s="10"/>
      <c r="F15" s="10"/>
      <c r="G15" s="10"/>
    </row>
    <row x14ac:dyDescent="0.25" r="16" customHeight="1" ht="21.75">
      <c r="A16" s="52"/>
      <c r="B16" s="53">
        <v>13</v>
      </c>
      <c r="C16" s="7" t="s">
        <v>238</v>
      </c>
      <c r="D16" s="7"/>
      <c r="E16" s="7"/>
      <c r="F16" s="7"/>
      <c r="G16" s="7"/>
    </row>
    <row x14ac:dyDescent="0.25" r="17" customHeight="1" ht="21.75">
      <c r="A17" s="54"/>
      <c r="B17" s="55">
        <v>14</v>
      </c>
      <c r="C17" s="10" t="s">
        <v>239</v>
      </c>
      <c r="D17" s="10"/>
      <c r="E17" s="10"/>
      <c r="F17" s="10"/>
      <c r="G17" s="10"/>
    </row>
    <row x14ac:dyDescent="0.25" r="18" customHeight="1" ht="21.75">
      <c r="A18" s="52"/>
      <c r="B18" s="53">
        <v>15</v>
      </c>
      <c r="C18" s="7" t="s">
        <v>240</v>
      </c>
      <c r="D18" s="7"/>
      <c r="E18" s="7"/>
      <c r="F18" s="7"/>
      <c r="G18" s="7"/>
    </row>
    <row x14ac:dyDescent="0.25" r="19" customHeight="1" ht="21.75">
      <c r="A19" s="54"/>
      <c r="B19" s="56"/>
      <c r="C19" s="10"/>
      <c r="D19" s="10"/>
      <c r="E19" s="10"/>
      <c r="F19" s="10"/>
      <c r="G19" s="10"/>
    </row>
    <row x14ac:dyDescent="0.25" r="20" customHeight="1" ht="21.75">
      <c r="A20" s="52"/>
      <c r="B20" s="57"/>
      <c r="C20" s="7"/>
      <c r="D20" s="7"/>
      <c r="E20" s="7"/>
      <c r="F20" s="7"/>
      <c r="G20" s="7"/>
    </row>
    <row x14ac:dyDescent="0.25" r="21" customHeight="1" ht="21.75">
      <c r="A21" s="54"/>
      <c r="B21" s="56"/>
      <c r="C21" s="10"/>
      <c r="D21" s="10"/>
      <c r="E21" s="10"/>
      <c r="F21" s="10"/>
      <c r="G21" s="10"/>
    </row>
    <row x14ac:dyDescent="0.25" r="22" customHeight="1" ht="21.75">
      <c r="A22" s="52"/>
      <c r="B22" s="57"/>
      <c r="C22" s="7"/>
      <c r="D22" s="7"/>
      <c r="E22" s="7"/>
      <c r="F22" s="7"/>
      <c r="G22" s="7"/>
    </row>
    <row x14ac:dyDescent="0.25" r="23" customHeight="1" ht="21.75">
      <c r="A23" s="54"/>
      <c r="B23" s="56"/>
      <c r="C23" s="10"/>
      <c r="D23" s="10"/>
      <c r="E23" s="10"/>
      <c r="F23" s="10"/>
      <c r="G23" s="10"/>
    </row>
    <row x14ac:dyDescent="0.25" r="24" customHeight="1" ht="21.75">
      <c r="A24" s="52"/>
      <c r="B24" s="57"/>
      <c r="C24" s="7"/>
      <c r="D24" s="7"/>
      <c r="E24" s="7"/>
      <c r="F24" s="7"/>
      <c r="G24" s="7"/>
    </row>
    <row x14ac:dyDescent="0.25" r="25" customHeight="1" ht="21.75">
      <c r="A25" s="54"/>
      <c r="B25" s="56"/>
      <c r="C25" s="10"/>
      <c r="D25" s="10"/>
      <c r="E25" s="10"/>
      <c r="F25" s="10"/>
      <c r="G25" s="10"/>
    </row>
    <row x14ac:dyDescent="0.25" r="26" customHeight="1" ht="21.75">
      <c r="A26" s="52"/>
      <c r="B26" s="57"/>
      <c r="C26" s="7"/>
      <c r="D26" s="7"/>
      <c r="E26" s="7"/>
      <c r="F26" s="7"/>
      <c r="G26" s="7"/>
    </row>
    <row x14ac:dyDescent="0.25" r="27" customHeight="1" ht="21.75">
      <c r="A27" s="54"/>
      <c r="B27" s="56"/>
      <c r="C27" s="10"/>
      <c r="D27" s="10"/>
      <c r="E27" s="10"/>
      <c r="F27" s="10"/>
      <c r="G27" s="10"/>
    </row>
    <row x14ac:dyDescent="0.25" r="28" customHeight="1" ht="21.75">
      <c r="A28" s="52"/>
      <c r="B28" s="57"/>
      <c r="C28" s="7"/>
      <c r="D28" s="7"/>
      <c r="E28" s="7"/>
      <c r="F28" s="7"/>
      <c r="G28" s="7"/>
    </row>
    <row x14ac:dyDescent="0.25" r="29" customHeight="1" ht="21.75">
      <c r="A29" s="54"/>
      <c r="B29" s="56"/>
      <c r="C29" s="10"/>
      <c r="D29" s="10"/>
      <c r="E29" s="10"/>
      <c r="F29" s="10"/>
      <c r="G29" s="10"/>
    </row>
    <row x14ac:dyDescent="0.25" r="30" customHeight="1" ht="21.75">
      <c r="A30" s="52"/>
      <c r="B30" s="57"/>
      <c r="C30" s="7"/>
      <c r="D30" s="7"/>
      <c r="E30" s="7"/>
      <c r="F30" s="7"/>
      <c r="G30" s="7"/>
    </row>
    <row x14ac:dyDescent="0.25" r="31" customHeight="1" ht="21.75">
      <c r="A31" s="54"/>
      <c r="B31" s="56"/>
      <c r="C31" s="10"/>
      <c r="D31" s="10"/>
      <c r="E31" s="10"/>
      <c r="F31" s="10"/>
      <c r="G31" s="10"/>
    </row>
    <row x14ac:dyDescent="0.25" r="32" customHeight="1" ht="21.75">
      <c r="A32" s="52"/>
      <c r="B32" s="57"/>
      <c r="C32" s="7"/>
      <c r="D32" s="7"/>
      <c r="E32" s="7"/>
      <c r="F32" s="7"/>
      <c r="G32" s="7"/>
    </row>
    <row x14ac:dyDescent="0.25" r="33" customHeight="1" ht="21.75">
      <c r="A33" s="54"/>
      <c r="B33" s="56"/>
      <c r="C33" s="10"/>
      <c r="D33" s="10"/>
      <c r="E33" s="10"/>
      <c r="F33" s="10"/>
      <c r="G33" s="10"/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12" width="8.005" customWidth="1" bestFit="1"/>
    <col min="2" max="2" style="12" width="16.005" customWidth="1" bestFit="1"/>
    <col min="3" max="3" style="12" width="14.005" customWidth="1" bestFit="1"/>
    <col min="4" max="4" style="12" width="40.005" customWidth="1" bestFit="1"/>
    <col min="5" max="5" style="12" width="32.005" customWidth="1" bestFit="1"/>
    <col min="6" max="6" style="12" width="14.005" customWidth="1" bestFit="1"/>
    <col min="7" max="7" style="50" width="10.005" customWidth="1" bestFit="1"/>
    <col min="8" max="8" style="12" width="28.005" customWidth="1" bestFit="1"/>
  </cols>
  <sheetData>
    <row x14ac:dyDescent="0.25" r="1" customHeight="1" ht="21.75">
      <c r="A1" s="1" t="s">
        <v>183</v>
      </c>
      <c r="B1" s="1"/>
      <c r="C1" s="1"/>
      <c r="D1" s="1"/>
      <c r="E1" s="1"/>
      <c r="F1" s="1"/>
      <c r="G1" s="39"/>
      <c r="H1" s="1"/>
    </row>
    <row x14ac:dyDescent="0.25" r="2" customHeight="1" ht="21.75">
      <c r="A2" s="2" t="s">
        <v>184</v>
      </c>
      <c r="B2" s="2"/>
      <c r="C2" s="2"/>
      <c r="D2" s="2"/>
      <c r="E2" s="2"/>
      <c r="F2" s="2"/>
      <c r="G2" s="40"/>
      <c r="H2" s="2"/>
    </row>
    <row x14ac:dyDescent="0.25" r="3" customHeight="1" ht="21.75">
      <c r="A3" s="13"/>
      <c r="B3" s="13"/>
      <c r="C3" s="13"/>
      <c r="D3" s="13"/>
      <c r="E3" s="13"/>
      <c r="F3" s="13"/>
      <c r="G3" s="41"/>
      <c r="H3" s="13"/>
    </row>
    <row x14ac:dyDescent="0.25" r="4" customHeight="1" ht="21.75">
      <c r="A4" s="13"/>
      <c r="B4" s="13"/>
      <c r="C4" s="13"/>
      <c r="D4" s="13"/>
      <c r="E4" s="13"/>
      <c r="F4" s="13"/>
      <c r="G4" s="41"/>
      <c r="H4" s="13"/>
    </row>
    <row x14ac:dyDescent="0.25" r="5" customHeight="1" ht="21.75">
      <c r="A5" s="13"/>
      <c r="B5" s="13"/>
      <c r="C5" s="13"/>
      <c r="D5" s="13"/>
      <c r="E5" s="13"/>
      <c r="F5" s="13"/>
      <c r="G5" s="41"/>
      <c r="H5" s="13"/>
    </row>
    <row x14ac:dyDescent="0.25" r="6" customHeight="1" ht="21.75">
      <c r="A6" s="13"/>
      <c r="B6" s="13"/>
      <c r="C6" s="13"/>
      <c r="D6" s="13"/>
      <c r="E6" s="13"/>
      <c r="F6" s="13"/>
      <c r="G6" s="41"/>
      <c r="H6" s="13"/>
    </row>
    <row x14ac:dyDescent="0.25" r="7" customHeight="1" ht="21.75">
      <c r="A7" s="42" t="s">
        <v>185</v>
      </c>
      <c r="B7" s="42" t="s">
        <v>186</v>
      </c>
      <c r="C7" s="42" t="s">
        <v>187</v>
      </c>
      <c r="D7" s="42" t="s">
        <v>188</v>
      </c>
      <c r="E7" s="42" t="s">
        <v>189</v>
      </c>
      <c r="F7" s="42" t="s">
        <v>190</v>
      </c>
      <c r="G7" s="43" t="s">
        <v>191</v>
      </c>
      <c r="H7" s="42" t="s">
        <v>144</v>
      </c>
    </row>
    <row x14ac:dyDescent="0.25" r="8" customHeight="1" ht="21.75">
      <c r="A8" s="6" t="s">
        <v>119</v>
      </c>
      <c r="B8" s="7" t="s">
        <v>192</v>
      </c>
      <c r="C8" s="16" t="s">
        <v>11</v>
      </c>
      <c r="D8" s="7" t="s">
        <v>193</v>
      </c>
      <c r="E8" s="7" t="s">
        <v>194</v>
      </c>
      <c r="F8" s="16" t="s">
        <v>195</v>
      </c>
      <c r="G8" s="44">
        <f>SUMIF(&amp;apos;Session Log&amp;apos;!C8:C200,A8,&amp;apos;Session Log&amp;apos;!G8:G200)</f>
      </c>
      <c r="H8" s="13"/>
    </row>
    <row x14ac:dyDescent="0.25" r="9" customHeight="1" ht="21.75">
      <c r="A9" s="9" t="s">
        <v>196</v>
      </c>
      <c r="B9" s="10" t="s">
        <v>197</v>
      </c>
      <c r="C9" s="18" t="s">
        <v>19</v>
      </c>
      <c r="D9" s="10" t="s">
        <v>198</v>
      </c>
      <c r="E9" s="10" t="s">
        <v>199</v>
      </c>
      <c r="F9" s="18" t="s">
        <v>195</v>
      </c>
      <c r="G9" s="44">
        <f>SUMIF(&amp;apos;Session Log&amp;apos;!C8:C200,A9,&amp;apos;Session Log&amp;apos;!G8:G200)</f>
      </c>
      <c r="H9" s="13"/>
    </row>
    <row x14ac:dyDescent="0.25" r="10" customHeight="1" ht="21.75">
      <c r="A10" s="6" t="s">
        <v>200</v>
      </c>
      <c r="B10" s="7" t="s">
        <v>201</v>
      </c>
      <c r="C10" s="16" t="s">
        <v>27</v>
      </c>
      <c r="D10" s="7" t="s">
        <v>202</v>
      </c>
      <c r="E10" s="7" t="s">
        <v>203</v>
      </c>
      <c r="F10" s="16" t="s">
        <v>195</v>
      </c>
      <c r="G10" s="44">
        <f>SUMIF(&amp;apos;Session Log&amp;apos;!C8:C200,A10,&amp;apos;Session Log&amp;apos;!G8:G200)</f>
      </c>
      <c r="H10" s="13"/>
    </row>
    <row x14ac:dyDescent="0.25" r="11" customHeight="1" ht="21.75">
      <c r="A11" s="9" t="s">
        <v>204</v>
      </c>
      <c r="B11" s="10" t="s">
        <v>205</v>
      </c>
      <c r="C11" s="18" t="s">
        <v>31</v>
      </c>
      <c r="D11" s="10" t="s">
        <v>206</v>
      </c>
      <c r="E11" s="10" t="s">
        <v>207</v>
      </c>
      <c r="F11" s="18" t="s">
        <v>195</v>
      </c>
      <c r="G11" s="44">
        <f>SUMIF(&amp;apos;Session Log&amp;apos;!C8:C200,A11,&amp;apos;Session Log&amp;apos;!G8:G200)</f>
      </c>
      <c r="H11" s="13"/>
    </row>
    <row x14ac:dyDescent="0.25" r="12" customHeight="1" ht="21.75">
      <c r="A12" s="13"/>
      <c r="B12" s="13"/>
      <c r="C12" s="13"/>
      <c r="D12" s="13"/>
      <c r="E12" s="13"/>
      <c r="F12" s="13"/>
      <c r="G12" s="41"/>
      <c r="H12" s="13"/>
    </row>
    <row x14ac:dyDescent="0.25" r="13" customHeight="1" ht="21.75">
      <c r="A13" s="45" t="s">
        <v>208</v>
      </c>
      <c r="B13" s="45"/>
      <c r="C13" s="45"/>
      <c r="D13" s="45"/>
      <c r="E13" s="45"/>
      <c r="F13" s="45"/>
      <c r="G13" s="46"/>
      <c r="H13" s="45"/>
    </row>
    <row x14ac:dyDescent="0.25" r="14" customHeight="1" ht="21.75">
      <c r="A14" s="47" t="s">
        <v>209</v>
      </c>
      <c r="B14" s="48"/>
      <c r="C14" s="48"/>
      <c r="D14" s="48"/>
      <c r="E14" s="48"/>
      <c r="F14" s="48"/>
      <c r="G14" s="49"/>
      <c r="H14" s="48"/>
    </row>
    <row x14ac:dyDescent="0.25" r="15" customHeight="1" ht="21.75">
      <c r="A15" s="48"/>
      <c r="B15" s="48"/>
      <c r="C15" s="48"/>
      <c r="D15" s="48"/>
      <c r="E15" s="48"/>
      <c r="F15" s="48"/>
      <c r="G15" s="49"/>
      <c r="H15" s="48"/>
    </row>
    <row x14ac:dyDescent="0.25" r="16" customHeight="1" ht="21.75">
      <c r="A16" s="48"/>
      <c r="B16" s="48"/>
      <c r="C16" s="48"/>
      <c r="D16" s="48"/>
      <c r="E16" s="48"/>
      <c r="F16" s="48"/>
      <c r="G16" s="49"/>
      <c r="H16" s="48"/>
    </row>
  </sheetData>
  <mergeCells count="4">
    <mergeCell ref="A1:H1"/>
    <mergeCell ref="A2:H2"/>
    <mergeCell ref="A13:H13"/>
    <mergeCell ref="A14:H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7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38" width="10.005" customWidth="1" bestFit="1"/>
    <col min="2" max="2" style="12" width="28.005" customWidth="1" bestFit="1"/>
    <col min="3" max="3" style="12" width="28.005" customWidth="1" bestFit="1"/>
    <col min="4" max="4" style="12" width="22.005" customWidth="1" bestFit="1"/>
    <col min="5" max="5" style="12" width="16.005" customWidth="1" bestFit="1"/>
    <col min="6" max="6" style="12" width="16.005" customWidth="1" bestFit="1"/>
    <col min="7" max="7" style="12" width="32.005" customWidth="1" bestFit="1"/>
    <col min="8" max="8" style="12" width="14.005" customWidth="1" bestFit="1"/>
  </cols>
  <sheetData>
    <row x14ac:dyDescent="0.25" r="1" customHeight="1" ht="21.75">
      <c r="A1" s="26" t="s">
        <v>135</v>
      </c>
      <c r="B1" s="1"/>
      <c r="C1" s="1"/>
      <c r="D1" s="1"/>
      <c r="E1" s="1"/>
      <c r="F1" s="1"/>
      <c r="G1" s="1"/>
      <c r="H1" s="1"/>
    </row>
    <row x14ac:dyDescent="0.25" r="2" customHeight="1" ht="21.75">
      <c r="A2" s="27" t="s">
        <v>136</v>
      </c>
      <c r="B2" s="2"/>
      <c r="C2" s="2"/>
      <c r="D2" s="2"/>
      <c r="E2" s="2"/>
      <c r="F2" s="2"/>
      <c r="G2" s="2"/>
      <c r="H2" s="2"/>
    </row>
    <row x14ac:dyDescent="0.25" r="3" customHeight="1" ht="21.75">
      <c r="A3" s="28" t="s">
        <v>137</v>
      </c>
      <c r="B3" s="29"/>
      <c r="C3" s="29"/>
      <c r="D3" s="29"/>
      <c r="E3" s="29"/>
      <c r="F3" s="29"/>
      <c r="G3" s="29"/>
      <c r="H3" s="29"/>
    </row>
    <row x14ac:dyDescent="0.25" r="4" customHeight="1" ht="21.75">
      <c r="A4" s="30"/>
      <c r="B4" s="13"/>
      <c r="C4" s="13"/>
      <c r="D4" s="13"/>
      <c r="E4" s="13"/>
      <c r="F4" s="13"/>
      <c r="G4" s="13"/>
      <c r="H4" s="13"/>
    </row>
    <row x14ac:dyDescent="0.25" r="5" customHeight="1" ht="21.75">
      <c r="A5" s="30"/>
      <c r="B5" s="13"/>
      <c r="C5" s="13"/>
      <c r="D5" s="13"/>
      <c r="E5" s="13"/>
      <c r="F5" s="13"/>
      <c r="G5" s="13"/>
      <c r="H5" s="13"/>
    </row>
    <row x14ac:dyDescent="0.25" r="6" customHeight="1" ht="21.75">
      <c r="A6" s="30"/>
      <c r="B6" s="13"/>
      <c r="C6" s="13"/>
      <c r="D6" s="13"/>
      <c r="E6" s="13"/>
      <c r="F6" s="13"/>
      <c r="G6" s="13"/>
      <c r="H6" s="13"/>
    </row>
    <row x14ac:dyDescent="0.25" r="7" customHeight="1" ht="21.75">
      <c r="A7" s="31" t="s">
        <v>138</v>
      </c>
      <c r="B7" s="14" t="s">
        <v>139</v>
      </c>
      <c r="C7" s="14" t="s">
        <v>140</v>
      </c>
      <c r="D7" s="14" t="s">
        <v>141</v>
      </c>
      <c r="E7" s="14" t="s">
        <v>142</v>
      </c>
      <c r="F7" s="14" t="s">
        <v>143</v>
      </c>
      <c r="G7" s="14" t="s">
        <v>144</v>
      </c>
      <c r="H7" s="14" t="s">
        <v>145</v>
      </c>
    </row>
    <row x14ac:dyDescent="0.25" r="8" customHeight="1" ht="21.75">
      <c r="A8" s="32">
        <v>2</v>
      </c>
      <c r="B8" s="7" t="s">
        <v>146</v>
      </c>
      <c r="C8" s="7"/>
      <c r="D8" s="7"/>
      <c r="E8" s="16"/>
      <c r="F8" s="16" t="s">
        <v>49</v>
      </c>
      <c r="G8" s="7" t="s">
        <v>147</v>
      </c>
      <c r="H8" s="16" t="s">
        <v>148</v>
      </c>
    </row>
    <row x14ac:dyDescent="0.25" r="9" customHeight="1" ht="21.75">
      <c r="A9" s="33">
        <v>3</v>
      </c>
      <c r="B9" s="10" t="s">
        <v>149</v>
      </c>
      <c r="C9" s="10"/>
      <c r="D9" s="10"/>
      <c r="E9" s="18"/>
      <c r="F9" s="18" t="s">
        <v>49</v>
      </c>
      <c r="G9" s="10" t="s">
        <v>150</v>
      </c>
      <c r="H9" s="18" t="s">
        <v>148</v>
      </c>
    </row>
    <row x14ac:dyDescent="0.25" r="10" customHeight="1" ht="21.75">
      <c r="A10" s="32">
        <v>17</v>
      </c>
      <c r="B10" s="7" t="s">
        <v>151</v>
      </c>
      <c r="C10" s="7"/>
      <c r="D10" s="7"/>
      <c r="E10" s="16"/>
      <c r="F10" s="16" t="s">
        <v>49</v>
      </c>
      <c r="G10" s="7" t="s">
        <v>152</v>
      </c>
      <c r="H10" s="16" t="s">
        <v>153</v>
      </c>
    </row>
    <row x14ac:dyDescent="0.25" r="11" customHeight="1" ht="21.75">
      <c r="A11" s="33">
        <v>18</v>
      </c>
      <c r="B11" s="10" t="s">
        <v>154</v>
      </c>
      <c r="C11" s="10"/>
      <c r="D11" s="10"/>
      <c r="E11" s="18"/>
      <c r="F11" s="18" t="s">
        <v>49</v>
      </c>
      <c r="G11" s="10" t="s">
        <v>155</v>
      </c>
      <c r="H11" s="18" t="s">
        <v>156</v>
      </c>
    </row>
    <row x14ac:dyDescent="0.25" r="12" customHeight="1" ht="21.75">
      <c r="A12" s="32">
        <v>27</v>
      </c>
      <c r="B12" s="7" t="s">
        <v>157</v>
      </c>
      <c r="C12" s="7"/>
      <c r="D12" s="7"/>
      <c r="E12" s="16"/>
      <c r="F12" s="16" t="s">
        <v>49</v>
      </c>
      <c r="G12" s="7"/>
      <c r="H12" s="16" t="s">
        <v>153</v>
      </c>
    </row>
    <row x14ac:dyDescent="0.25" r="13" customHeight="1" ht="21.75">
      <c r="A13" s="33">
        <v>22</v>
      </c>
      <c r="B13" s="10" t="s">
        <v>158</v>
      </c>
      <c r="C13" s="10"/>
      <c r="D13" s="10"/>
      <c r="E13" s="18"/>
      <c r="F13" s="18" t="s">
        <v>49</v>
      </c>
      <c r="G13" s="10"/>
      <c r="H13" s="18" t="s">
        <v>153</v>
      </c>
    </row>
    <row x14ac:dyDescent="0.25" r="14" customHeight="1" ht="21.75">
      <c r="A14" s="32">
        <v>21</v>
      </c>
      <c r="B14" s="7" t="s">
        <v>159</v>
      </c>
      <c r="C14" s="7"/>
      <c r="D14" s="7"/>
      <c r="E14" s="16"/>
      <c r="F14" s="16" t="s">
        <v>49</v>
      </c>
      <c r="G14" s="7" t="s">
        <v>160</v>
      </c>
      <c r="H14" s="16" t="s">
        <v>153</v>
      </c>
    </row>
    <row x14ac:dyDescent="0.25" r="15" customHeight="1" ht="21.75">
      <c r="A15" s="33">
        <v>20</v>
      </c>
      <c r="B15" s="10" t="s">
        <v>161</v>
      </c>
      <c r="C15" s="10"/>
      <c r="D15" s="10"/>
      <c r="E15" s="18"/>
      <c r="F15" s="18" t="s">
        <v>49</v>
      </c>
      <c r="G15" s="10"/>
      <c r="H15" s="18" t="s">
        <v>153</v>
      </c>
    </row>
    <row x14ac:dyDescent="0.25" r="16" customHeight="1" ht="21.75">
      <c r="A16" s="32">
        <v>16</v>
      </c>
      <c r="B16" s="7" t="s">
        <v>162</v>
      </c>
      <c r="C16" s="7"/>
      <c r="D16" s="7"/>
      <c r="E16" s="16"/>
      <c r="F16" s="16" t="s">
        <v>49</v>
      </c>
      <c r="G16" s="7"/>
      <c r="H16" s="16" t="s">
        <v>153</v>
      </c>
    </row>
    <row x14ac:dyDescent="0.25" r="17" customHeight="1" ht="21.75">
      <c r="A17" s="33">
        <v>23</v>
      </c>
      <c r="B17" s="10" t="s">
        <v>163</v>
      </c>
      <c r="C17" s="10"/>
      <c r="D17" s="10"/>
      <c r="E17" s="18"/>
      <c r="F17" s="18" t="s">
        <v>49</v>
      </c>
      <c r="G17" s="10"/>
      <c r="H17" s="18" t="s">
        <v>153</v>
      </c>
    </row>
    <row x14ac:dyDescent="0.25" r="18" customHeight="1" ht="21.75">
      <c r="A18" s="32">
        <v>24</v>
      </c>
      <c r="B18" s="7" t="s">
        <v>164</v>
      </c>
      <c r="C18" s="7"/>
      <c r="D18" s="7"/>
      <c r="E18" s="16"/>
      <c r="F18" s="16" t="s">
        <v>49</v>
      </c>
      <c r="G18" s="7"/>
      <c r="H18" s="16" t="s">
        <v>153</v>
      </c>
    </row>
    <row x14ac:dyDescent="0.25" r="19" customHeight="1" ht="21.75">
      <c r="A19" s="33">
        <v>12</v>
      </c>
      <c r="B19" s="10" t="s">
        <v>165</v>
      </c>
      <c r="C19" s="10"/>
      <c r="D19" s="10"/>
      <c r="E19" s="18"/>
      <c r="F19" s="18" t="s">
        <v>49</v>
      </c>
      <c r="G19" s="10" t="s">
        <v>166</v>
      </c>
      <c r="H19" s="18" t="s">
        <v>156</v>
      </c>
    </row>
    <row x14ac:dyDescent="0.25" r="20" customHeight="1" ht="21.75">
      <c r="A20" s="32">
        <v>13</v>
      </c>
      <c r="B20" s="7" t="s">
        <v>167</v>
      </c>
      <c r="C20" s="7"/>
      <c r="D20" s="7"/>
      <c r="E20" s="16"/>
      <c r="F20" s="16" t="s">
        <v>49</v>
      </c>
      <c r="G20" s="7" t="s">
        <v>168</v>
      </c>
      <c r="H20" s="16" t="s">
        <v>156</v>
      </c>
    </row>
    <row x14ac:dyDescent="0.25" r="21" customHeight="1" ht="21.75">
      <c r="A21" s="33">
        <v>19</v>
      </c>
      <c r="B21" s="10" t="s">
        <v>167</v>
      </c>
      <c r="C21" s="10"/>
      <c r="D21" s="10"/>
      <c r="E21" s="18"/>
      <c r="F21" s="18" t="s">
        <v>49</v>
      </c>
      <c r="G21" s="10"/>
      <c r="H21" s="18" t="s">
        <v>156</v>
      </c>
    </row>
    <row x14ac:dyDescent="0.25" r="22" customHeight="1" ht="21.75">
      <c r="A22" s="34" t="s">
        <v>169</v>
      </c>
      <c r="B22" s="35" t="s">
        <v>170</v>
      </c>
      <c r="C22" s="35" t="s">
        <v>171</v>
      </c>
      <c r="D22" s="35"/>
      <c r="E22" s="36"/>
      <c r="F22" s="36" t="s">
        <v>48</v>
      </c>
      <c r="G22" s="35" t="s">
        <v>172</v>
      </c>
      <c r="H22" s="36" t="s">
        <v>173</v>
      </c>
    </row>
    <row x14ac:dyDescent="0.25" r="23" customHeight="1" ht="21.75">
      <c r="A23" s="33" t="s">
        <v>174</v>
      </c>
      <c r="B23" s="10" t="s">
        <v>175</v>
      </c>
      <c r="C23" s="10" t="s">
        <v>176</v>
      </c>
      <c r="D23" s="10"/>
      <c r="E23" s="18"/>
      <c r="F23" s="18" t="s">
        <v>49</v>
      </c>
      <c r="G23" s="10" t="s">
        <v>177</v>
      </c>
      <c r="H23" s="18" t="s">
        <v>173</v>
      </c>
    </row>
    <row x14ac:dyDescent="0.25" r="24" customHeight="1" ht="21.75">
      <c r="A24" s="32" t="s">
        <v>178</v>
      </c>
      <c r="B24" s="7" t="s">
        <v>179</v>
      </c>
      <c r="C24" s="7" t="s">
        <v>180</v>
      </c>
      <c r="D24" s="7"/>
      <c r="E24" s="16"/>
      <c r="F24" s="16" t="s">
        <v>49</v>
      </c>
      <c r="G24" s="7" t="s">
        <v>181</v>
      </c>
      <c r="H24" s="16" t="s">
        <v>173</v>
      </c>
    </row>
    <row x14ac:dyDescent="0.25" r="25" customHeight="1" ht="21.75">
      <c r="A25" s="30"/>
      <c r="B25" s="13"/>
      <c r="C25" s="13"/>
      <c r="D25" s="13"/>
      <c r="E25" s="13"/>
      <c r="F25" s="13"/>
      <c r="G25" s="13"/>
      <c r="H25" s="13"/>
    </row>
    <row x14ac:dyDescent="0.25" r="26" customHeight="1" ht="21.75">
      <c r="A26" s="30"/>
      <c r="B26" s="13"/>
      <c r="C26" s="13"/>
      <c r="D26" s="13"/>
      <c r="E26" s="13"/>
      <c r="F26" s="13"/>
      <c r="G26" s="13"/>
      <c r="H26" s="13"/>
    </row>
    <row x14ac:dyDescent="0.25" r="27" customHeight="1" ht="21.75">
      <c r="A27" s="37" t="s">
        <v>182</v>
      </c>
      <c r="B27" s="19"/>
      <c r="C27" s="19"/>
      <c r="D27" s="19"/>
      <c r="E27" s="19"/>
      <c r="F27" s="19"/>
      <c r="G27" s="19"/>
      <c r="H27" s="19"/>
    </row>
  </sheetData>
  <mergeCells count="4">
    <mergeCell ref="A1:H1"/>
    <mergeCell ref="A2:H2"/>
    <mergeCell ref="A3:H3"/>
    <mergeCell ref="A27:H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12" width="36.005" customWidth="1" bestFit="1"/>
    <col min="2" max="2" style="12" width="16.005" customWidth="1" bestFit="1"/>
    <col min="3" max="3" style="12" width="20.005" customWidth="1" bestFit="1"/>
    <col min="4" max="4" style="12" width="18.005" customWidth="1" bestFit="1"/>
    <col min="5" max="5" style="25" width="36.005" customWidth="1" bestFit="1"/>
    <col min="6" max="6" style="25" width="22.005" customWidth="1" bestFit="1"/>
  </cols>
  <sheetData>
    <row x14ac:dyDescent="0.25" r="1" customHeight="1" ht="21.75">
      <c r="A1" s="1" t="s">
        <v>106</v>
      </c>
      <c r="B1" s="1"/>
      <c r="C1" s="1"/>
      <c r="D1" s="1"/>
      <c r="E1" s="1"/>
      <c r="F1" s="1"/>
    </row>
    <row x14ac:dyDescent="0.25" r="2" customHeight="1" ht="21.75">
      <c r="A2" s="2" t="s">
        <v>107</v>
      </c>
      <c r="B2" s="2"/>
      <c r="C2" s="2"/>
      <c r="D2" s="2"/>
      <c r="E2" s="2"/>
      <c r="F2" s="2"/>
    </row>
    <row x14ac:dyDescent="0.25" r="3" customHeight="1" ht="21.75">
      <c r="A3" s="13"/>
      <c r="B3" s="13"/>
      <c r="C3" s="13"/>
      <c r="D3" s="13"/>
      <c r="E3" s="20"/>
      <c r="F3" s="20"/>
    </row>
    <row x14ac:dyDescent="0.25" r="4" customHeight="1" ht="21.75">
      <c r="A4" s="13"/>
      <c r="B4" s="13"/>
      <c r="C4" s="13"/>
      <c r="D4" s="13"/>
      <c r="E4" s="20"/>
      <c r="F4" s="20"/>
    </row>
    <row x14ac:dyDescent="0.25" r="5" customHeight="1" ht="21.75">
      <c r="A5" s="13"/>
      <c r="B5" s="13"/>
      <c r="C5" s="13"/>
      <c r="D5" s="13"/>
      <c r="E5" s="20"/>
      <c r="F5" s="20"/>
    </row>
    <row x14ac:dyDescent="0.25" r="6" customHeight="1" ht="21.75">
      <c r="A6" s="13"/>
      <c r="B6" s="13"/>
      <c r="C6" s="13"/>
      <c r="D6" s="13"/>
      <c r="E6" s="20"/>
      <c r="F6" s="20"/>
    </row>
    <row x14ac:dyDescent="0.25" r="7" customHeight="1" ht="21.75">
      <c r="A7" s="5" t="s">
        <v>108</v>
      </c>
      <c r="B7" s="5" t="s">
        <v>109</v>
      </c>
      <c r="C7" s="5" t="s">
        <v>110</v>
      </c>
      <c r="D7" s="5" t="s">
        <v>111</v>
      </c>
      <c r="E7" s="5" t="s">
        <v>112</v>
      </c>
      <c r="F7" s="5" t="s">
        <v>113</v>
      </c>
    </row>
    <row x14ac:dyDescent="0.25" r="8" customHeight="1" ht="21.75">
      <c r="A8" s="7" t="s">
        <v>114</v>
      </c>
      <c r="B8" s="16" t="s">
        <v>5</v>
      </c>
      <c r="C8" s="16"/>
      <c r="D8" s="16"/>
      <c r="E8" s="7"/>
      <c r="F8" s="16"/>
    </row>
    <row x14ac:dyDescent="0.25" r="9" customHeight="1" ht="21.75">
      <c r="A9" s="10" t="s">
        <v>115</v>
      </c>
      <c r="B9" s="18" t="s">
        <v>5</v>
      </c>
      <c r="C9" s="18"/>
      <c r="D9" s="18"/>
      <c r="E9" s="10"/>
      <c r="F9" s="18"/>
    </row>
    <row x14ac:dyDescent="0.25" r="10" customHeight="1" ht="21.75">
      <c r="A10" s="7" t="s">
        <v>116</v>
      </c>
      <c r="B10" s="16" t="s">
        <v>117</v>
      </c>
      <c r="C10" s="16"/>
      <c r="D10" s="16"/>
      <c r="E10" s="7"/>
      <c r="F10" s="16"/>
    </row>
    <row x14ac:dyDescent="0.25" r="11" customHeight="1" ht="21.75">
      <c r="A11" s="10" t="s">
        <v>118</v>
      </c>
      <c r="B11" s="18" t="s">
        <v>119</v>
      </c>
      <c r="C11" s="18"/>
      <c r="D11" s="18"/>
      <c r="E11" s="10"/>
      <c r="F11" s="18"/>
    </row>
    <row x14ac:dyDescent="0.25" r="12" customHeight="1" ht="21.75">
      <c r="A12" s="7" t="s">
        <v>120</v>
      </c>
      <c r="B12" s="16" t="s">
        <v>13</v>
      </c>
      <c r="C12" s="16"/>
      <c r="D12" s="16"/>
      <c r="E12" s="7"/>
      <c r="F12" s="16"/>
    </row>
    <row x14ac:dyDescent="0.25" r="13" customHeight="1" ht="21.75">
      <c r="A13" s="10" t="s">
        <v>121</v>
      </c>
      <c r="B13" s="18" t="s">
        <v>15</v>
      </c>
      <c r="C13" s="18"/>
      <c r="D13" s="18"/>
      <c r="E13" s="10"/>
      <c r="F13" s="18"/>
    </row>
    <row x14ac:dyDescent="0.25" r="14" customHeight="1" ht="21.75">
      <c r="A14" s="7" t="s">
        <v>122</v>
      </c>
      <c r="B14" s="16" t="s">
        <v>123</v>
      </c>
      <c r="C14" s="16"/>
      <c r="D14" s="16"/>
      <c r="E14" s="7"/>
      <c r="F14" s="16"/>
    </row>
    <row x14ac:dyDescent="0.25" r="15" customHeight="1" ht="21.75">
      <c r="A15" s="10" t="s">
        <v>124</v>
      </c>
      <c r="B15" s="18" t="s">
        <v>19</v>
      </c>
      <c r="C15" s="18"/>
      <c r="D15" s="18"/>
      <c r="E15" s="10"/>
      <c r="F15" s="18"/>
    </row>
    <row x14ac:dyDescent="0.25" r="16" customHeight="1" ht="21.75">
      <c r="A16" s="7" t="s">
        <v>125</v>
      </c>
      <c r="B16" s="16" t="s">
        <v>21</v>
      </c>
      <c r="C16" s="16"/>
      <c r="D16" s="16"/>
      <c r="E16" s="7"/>
      <c r="F16" s="16"/>
    </row>
    <row x14ac:dyDescent="0.25" r="17" customHeight="1" ht="21.75">
      <c r="A17" s="10" t="s">
        <v>126</v>
      </c>
      <c r="B17" s="18" t="s">
        <v>127</v>
      </c>
      <c r="C17" s="18"/>
      <c r="D17" s="18"/>
      <c r="E17" s="10"/>
      <c r="F17" s="18"/>
    </row>
    <row x14ac:dyDescent="0.25" r="18" customHeight="1" ht="21.75">
      <c r="A18" s="7" t="s">
        <v>128</v>
      </c>
      <c r="B18" s="16" t="s">
        <v>25</v>
      </c>
      <c r="C18" s="16"/>
      <c r="D18" s="16"/>
      <c r="E18" s="7"/>
      <c r="F18" s="16"/>
    </row>
    <row x14ac:dyDescent="0.25" r="19" customHeight="1" ht="21.75">
      <c r="A19" s="10" t="s">
        <v>129</v>
      </c>
      <c r="B19" s="18" t="s">
        <v>27</v>
      </c>
      <c r="C19" s="18"/>
      <c r="D19" s="18"/>
      <c r="E19" s="10"/>
      <c r="F19" s="18"/>
    </row>
    <row x14ac:dyDescent="0.25" r="20" customHeight="1" ht="21.75">
      <c r="A20" s="7" t="s">
        <v>130</v>
      </c>
      <c r="B20" s="16" t="s">
        <v>29</v>
      </c>
      <c r="C20" s="16"/>
      <c r="D20" s="16"/>
      <c r="E20" s="7"/>
      <c r="F20" s="16"/>
    </row>
    <row x14ac:dyDescent="0.25" r="21" customHeight="1" ht="21.75">
      <c r="A21" s="10" t="s">
        <v>131</v>
      </c>
      <c r="B21" s="18" t="s">
        <v>31</v>
      </c>
      <c r="C21" s="18"/>
      <c r="D21" s="18"/>
      <c r="E21" s="10"/>
      <c r="F21" s="18"/>
    </row>
    <row x14ac:dyDescent="0.25" r="22" customHeight="1" ht="21.75">
      <c r="A22" s="7" t="s">
        <v>132</v>
      </c>
      <c r="B22" s="16" t="s">
        <v>35</v>
      </c>
      <c r="C22" s="16"/>
      <c r="D22" s="16"/>
      <c r="E22" s="7"/>
      <c r="F22" s="16"/>
    </row>
    <row x14ac:dyDescent="0.25" r="23" customHeight="1" ht="21.75">
      <c r="A23" s="13"/>
      <c r="B23" s="13"/>
      <c r="C23" s="13"/>
      <c r="D23" s="13"/>
      <c r="E23" s="20"/>
      <c r="F23" s="20"/>
    </row>
    <row x14ac:dyDescent="0.25" r="24" customHeight="1" ht="21.75">
      <c r="A24" s="13"/>
      <c r="B24" s="13"/>
      <c r="C24" s="13"/>
      <c r="D24" s="13"/>
      <c r="E24" s="20"/>
      <c r="F24" s="20"/>
    </row>
    <row x14ac:dyDescent="0.25" r="25" customHeight="1" ht="21.75">
      <c r="A25" s="21" t="s">
        <v>133</v>
      </c>
      <c r="B25" s="22">
        <f>IF(COUNT(C8:C19)=0,"—",AVERAGE(C8:C19))</f>
      </c>
      <c r="C25" s="23" t="s">
        <v>134</v>
      </c>
      <c r="D25" s="24">
        <f>IF(COUNT(D8:D22)=0,"—",AVERAGE(D8:D22))</f>
      </c>
      <c r="E25" s="20"/>
      <c r="F25" s="20"/>
    </row>
  </sheetData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12" width="28.005" customWidth="1" bestFit="1"/>
    <col min="2" max="2" style="12" width="14.005" customWidth="1" bestFit="1"/>
    <col min="3" max="3" style="12" width="12.005" customWidth="1" bestFit="1"/>
    <col min="4" max="4" style="12" width="18.005" customWidth="1" bestFit="1"/>
    <col min="5" max="5" style="12" width="36.005" customWidth="1" bestFit="1"/>
    <col min="6" max="6" style="12" width="32.005" customWidth="1" bestFit="1"/>
    <col min="7" max="7" style="12" width="22.005" customWidth="1" bestFit="1"/>
  </cols>
  <sheetData>
    <row x14ac:dyDescent="0.25" r="1" customHeight="1" ht="21.75">
      <c r="A1" s="1" t="s">
        <v>37</v>
      </c>
      <c r="B1" s="1"/>
      <c r="C1" s="1"/>
      <c r="D1" s="1"/>
      <c r="E1" s="1"/>
      <c r="F1" s="1"/>
      <c r="G1" s="1"/>
    </row>
    <row x14ac:dyDescent="0.25" r="2" customHeight="1" ht="21.75">
      <c r="A2" s="2" t="s">
        <v>38</v>
      </c>
      <c r="B2" s="2"/>
      <c r="C2" s="2"/>
      <c r="D2" s="2"/>
      <c r="E2" s="2"/>
      <c r="F2" s="2"/>
      <c r="G2" s="2"/>
    </row>
    <row x14ac:dyDescent="0.25" r="3" customHeight="1" ht="21.75">
      <c r="A3" s="13"/>
      <c r="B3" s="13"/>
      <c r="C3" s="13"/>
      <c r="D3" s="13"/>
      <c r="E3" s="13"/>
      <c r="F3" s="13"/>
      <c r="G3" s="13"/>
    </row>
    <row x14ac:dyDescent="0.25" r="4" customHeight="1" ht="21.75">
      <c r="A4" s="13"/>
      <c r="B4" s="13"/>
      <c r="C4" s="13"/>
      <c r="D4" s="13"/>
      <c r="E4" s="13"/>
      <c r="F4" s="13"/>
      <c r="G4" s="13"/>
    </row>
    <row x14ac:dyDescent="0.25" r="5" customHeight="1" ht="21.75">
      <c r="A5" s="13"/>
      <c r="B5" s="13"/>
      <c r="C5" s="13"/>
      <c r="D5" s="13"/>
      <c r="E5" s="13"/>
      <c r="F5" s="13"/>
      <c r="G5" s="13"/>
    </row>
    <row x14ac:dyDescent="0.25" r="6" customHeight="1" ht="21.75">
      <c r="A6" s="13"/>
      <c r="B6" s="13"/>
      <c r="C6" s="13"/>
      <c r="D6" s="13"/>
      <c r="E6" s="13"/>
      <c r="F6" s="13"/>
      <c r="G6" s="13"/>
    </row>
    <row x14ac:dyDescent="0.25" r="7" customHeight="1" ht="21.75">
      <c r="A7" s="14" t="s">
        <v>39</v>
      </c>
      <c r="B7" s="14" t="s">
        <v>40</v>
      </c>
      <c r="C7" s="14" t="s">
        <v>41</v>
      </c>
      <c r="D7" s="14" t="s">
        <v>42</v>
      </c>
      <c r="E7" s="14" t="s">
        <v>43</v>
      </c>
      <c r="F7" s="14" t="s">
        <v>44</v>
      </c>
      <c r="G7" s="14" t="s">
        <v>45</v>
      </c>
    </row>
    <row x14ac:dyDescent="0.25" r="8" customHeight="1" ht="21.75">
      <c r="A8" s="15" t="s">
        <v>46</v>
      </c>
      <c r="B8" s="16" t="s">
        <v>47</v>
      </c>
      <c r="C8" s="16" t="s">
        <v>48</v>
      </c>
      <c r="D8" s="16" t="s">
        <v>49</v>
      </c>
      <c r="E8" s="7" t="s">
        <v>50</v>
      </c>
      <c r="F8" s="7" t="s">
        <v>51</v>
      </c>
      <c r="G8" s="7" t="s">
        <v>52</v>
      </c>
    </row>
    <row x14ac:dyDescent="0.25" r="9" customHeight="1" ht="21.75">
      <c r="A9" s="17" t="s">
        <v>53</v>
      </c>
      <c r="B9" s="18" t="s">
        <v>5</v>
      </c>
      <c r="C9" s="18"/>
      <c r="D9" s="18"/>
      <c r="E9" s="10" t="s">
        <v>54</v>
      </c>
      <c r="F9" s="10" t="s">
        <v>55</v>
      </c>
      <c r="G9" s="10" t="s">
        <v>56</v>
      </c>
    </row>
    <row x14ac:dyDescent="0.25" r="10" customHeight="1" ht="21.75">
      <c r="A10" s="15" t="s">
        <v>57</v>
      </c>
      <c r="B10" s="16" t="s">
        <v>58</v>
      </c>
      <c r="C10" s="16"/>
      <c r="D10" s="16"/>
      <c r="E10" s="7" t="s">
        <v>59</v>
      </c>
      <c r="F10" s="7" t="s">
        <v>60</v>
      </c>
      <c r="G10" s="7" t="s">
        <v>61</v>
      </c>
    </row>
    <row x14ac:dyDescent="0.25" r="11" customHeight="1" ht="21.75">
      <c r="A11" s="17" t="s">
        <v>62</v>
      </c>
      <c r="B11" s="18" t="s">
        <v>8</v>
      </c>
      <c r="C11" s="18"/>
      <c r="D11" s="18"/>
      <c r="E11" s="10" t="s">
        <v>63</v>
      </c>
      <c r="F11" s="10" t="s">
        <v>64</v>
      </c>
      <c r="G11" s="10" t="s">
        <v>65</v>
      </c>
    </row>
    <row x14ac:dyDescent="0.25" r="12" customHeight="1" ht="21.75">
      <c r="A12" s="15" t="s">
        <v>66</v>
      </c>
      <c r="B12" s="16" t="s">
        <v>15</v>
      </c>
      <c r="C12" s="16"/>
      <c r="D12" s="16"/>
      <c r="E12" s="7" t="s">
        <v>67</v>
      </c>
      <c r="F12" s="7" t="s">
        <v>68</v>
      </c>
      <c r="G12" s="7" t="s">
        <v>69</v>
      </c>
    </row>
    <row x14ac:dyDescent="0.25" r="13" customHeight="1" ht="21.75">
      <c r="A13" s="17" t="s">
        <v>70</v>
      </c>
      <c r="B13" s="18" t="s">
        <v>17</v>
      </c>
      <c r="C13" s="18"/>
      <c r="D13" s="18"/>
      <c r="E13" s="10" t="s">
        <v>71</v>
      </c>
      <c r="F13" s="10" t="s">
        <v>72</v>
      </c>
      <c r="G13" s="10" t="s">
        <v>73</v>
      </c>
    </row>
    <row x14ac:dyDescent="0.25" r="14" customHeight="1" ht="21.75">
      <c r="A14" s="15" t="s">
        <v>74</v>
      </c>
      <c r="B14" s="16" t="s">
        <v>19</v>
      </c>
      <c r="C14" s="16"/>
      <c r="D14" s="16"/>
      <c r="E14" s="7" t="s">
        <v>75</v>
      </c>
      <c r="F14" s="7" t="s">
        <v>76</v>
      </c>
      <c r="G14" s="7" t="s">
        <v>77</v>
      </c>
    </row>
    <row x14ac:dyDescent="0.25" r="15" customHeight="1" ht="21.75">
      <c r="A15" s="17" t="s">
        <v>78</v>
      </c>
      <c r="B15" s="18" t="s">
        <v>21</v>
      </c>
      <c r="C15" s="18"/>
      <c r="D15" s="18"/>
      <c r="E15" s="10" t="s">
        <v>79</v>
      </c>
      <c r="F15" s="10" t="s">
        <v>80</v>
      </c>
      <c r="G15" s="10" t="s">
        <v>81</v>
      </c>
    </row>
    <row x14ac:dyDescent="0.25" r="16" customHeight="1" ht="21.75">
      <c r="A16" s="15" t="s">
        <v>82</v>
      </c>
      <c r="B16" s="16" t="s">
        <v>83</v>
      </c>
      <c r="C16" s="16"/>
      <c r="D16" s="16"/>
      <c r="E16" s="7" t="s">
        <v>84</v>
      </c>
      <c r="F16" s="7" t="s">
        <v>85</v>
      </c>
      <c r="G16" s="7" t="s">
        <v>86</v>
      </c>
    </row>
    <row x14ac:dyDescent="0.25" r="17" customHeight="1" ht="21.75">
      <c r="A17" s="17" t="s">
        <v>87</v>
      </c>
      <c r="B17" s="18" t="s">
        <v>23</v>
      </c>
      <c r="C17" s="18"/>
      <c r="D17" s="18"/>
      <c r="E17" s="10" t="s">
        <v>88</v>
      </c>
      <c r="F17" s="10" t="s">
        <v>89</v>
      </c>
      <c r="G17" s="10" t="s">
        <v>90</v>
      </c>
    </row>
    <row x14ac:dyDescent="0.25" r="18" customHeight="1" ht="21.75">
      <c r="A18" s="15" t="s">
        <v>91</v>
      </c>
      <c r="B18" s="16" t="s">
        <v>25</v>
      </c>
      <c r="C18" s="16"/>
      <c r="D18" s="16"/>
      <c r="E18" s="7" t="s">
        <v>92</v>
      </c>
      <c r="F18" s="7" t="s">
        <v>93</v>
      </c>
      <c r="G18" s="7" t="s">
        <v>94</v>
      </c>
    </row>
    <row x14ac:dyDescent="0.25" r="19" customHeight="1" ht="21.75">
      <c r="A19" s="17" t="s">
        <v>95</v>
      </c>
      <c r="B19" s="18" t="s">
        <v>96</v>
      </c>
      <c r="C19" s="18"/>
      <c r="D19" s="18"/>
      <c r="E19" s="10" t="s">
        <v>97</v>
      </c>
      <c r="F19" s="10" t="s">
        <v>98</v>
      </c>
      <c r="G19" s="10" t="s">
        <v>99</v>
      </c>
    </row>
    <row x14ac:dyDescent="0.25" r="20" customHeight="1" ht="21.75">
      <c r="A20" s="15" t="s">
        <v>100</v>
      </c>
      <c r="B20" s="16" t="s">
        <v>101</v>
      </c>
      <c r="C20" s="16"/>
      <c r="D20" s="16"/>
      <c r="E20" s="7" t="s">
        <v>102</v>
      </c>
      <c r="F20" s="7" t="s">
        <v>103</v>
      </c>
      <c r="G20" s="7" t="s">
        <v>104</v>
      </c>
    </row>
    <row x14ac:dyDescent="0.25" r="21" customHeight="1" ht="21.75">
      <c r="A21" s="13"/>
      <c r="B21" s="13"/>
      <c r="C21" s="13"/>
      <c r="D21" s="13"/>
      <c r="E21" s="13"/>
      <c r="F21" s="13"/>
      <c r="G21" s="13"/>
    </row>
    <row x14ac:dyDescent="0.25" r="22" customHeight="1" ht="21.75">
      <c r="A22" s="13"/>
      <c r="B22" s="13"/>
      <c r="C22" s="13"/>
      <c r="D22" s="13"/>
      <c r="E22" s="13"/>
      <c r="F22" s="13"/>
      <c r="G22" s="13"/>
    </row>
    <row x14ac:dyDescent="0.25" r="23" customHeight="1" ht="21.75">
      <c r="A23" s="19" t="s">
        <v>105</v>
      </c>
      <c r="B23" s="19"/>
      <c r="C23" s="19"/>
      <c r="D23" s="19"/>
      <c r="E23" s="19"/>
      <c r="F23" s="19"/>
      <c r="G23" s="19"/>
    </row>
  </sheetData>
  <mergeCells count="3">
    <mergeCell ref="A1:G1"/>
    <mergeCell ref="A2:G2"/>
    <mergeCell ref="A23:G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11" width="28.005" customWidth="1" bestFit="1"/>
    <col min="2" max="2" style="12" width="62.71928571428572" customWidth="1" bestFit="1"/>
    <col min="3" max="3" style="12" width="85.005" customWidth="1" bestFit="1"/>
  </cols>
  <sheetData>
    <row x14ac:dyDescent="0.25" r="1" customHeight="1" ht="21.75">
      <c r="A1" s="1" t="s">
        <v>0</v>
      </c>
      <c r="B1" s="1"/>
      <c r="C1" s="1"/>
    </row>
    <row x14ac:dyDescent="0.25" r="2" customHeight="1" ht="21.75">
      <c r="A2" s="2" t="s">
        <v>1</v>
      </c>
      <c r="B2" s="2"/>
      <c r="C2" s="2"/>
    </row>
    <row x14ac:dyDescent="0.25" r="3" customHeight="1" ht="21.75">
      <c r="A3" s="3"/>
      <c r="B3" s="4"/>
      <c r="C3" s="4"/>
    </row>
    <row x14ac:dyDescent="0.25" r="4" customHeight="1" ht="21.75">
      <c r="A4" s="3"/>
      <c r="B4" s="4"/>
      <c r="C4" s="4"/>
    </row>
    <row x14ac:dyDescent="0.25" r="5" customHeight="1" ht="21.75">
      <c r="A5" s="3"/>
      <c r="B5" s="4"/>
      <c r="C5" s="4"/>
    </row>
    <row x14ac:dyDescent="0.25" r="6" customHeight="1" ht="21.75">
      <c r="A6" s="5" t="s">
        <v>2</v>
      </c>
      <c r="B6" s="5" t="s">
        <v>3</v>
      </c>
      <c r="C6" s="5" t="s">
        <v>4</v>
      </c>
    </row>
    <row x14ac:dyDescent="0.25" r="7" customHeight="1" ht="40.5">
      <c r="A7" s="6" t="s">
        <v>5</v>
      </c>
      <c r="B7" s="7" t="s">
        <v>6</v>
      </c>
      <c r="C7" s="8" t="s">
        <v>7</v>
      </c>
    </row>
    <row x14ac:dyDescent="0.25" r="8" customHeight="1" ht="46.5">
      <c r="A8" s="9" t="s">
        <v>8</v>
      </c>
      <c r="B8" s="10" t="s">
        <v>9</v>
      </c>
      <c r="C8" s="10" t="s">
        <v>10</v>
      </c>
    </row>
    <row x14ac:dyDescent="0.25" r="9" customHeight="1" ht="21.75">
      <c r="A9" s="6" t="s">
        <v>11</v>
      </c>
      <c r="B9" s="7" t="s">
        <v>12</v>
      </c>
      <c r="C9" s="7"/>
    </row>
    <row x14ac:dyDescent="0.25" r="10" customHeight="1" ht="21.75">
      <c r="A10" s="9" t="s">
        <v>13</v>
      </c>
      <c r="B10" s="10" t="s">
        <v>14</v>
      </c>
      <c r="C10" s="10"/>
    </row>
    <row x14ac:dyDescent="0.25" r="11" customHeight="1" ht="21.75">
      <c r="A11" s="6" t="s">
        <v>15</v>
      </c>
      <c r="B11" s="7" t="s">
        <v>16</v>
      </c>
      <c r="C11" s="7"/>
    </row>
    <row x14ac:dyDescent="0.25" r="12" customHeight="1" ht="21.75">
      <c r="A12" s="9" t="s">
        <v>17</v>
      </c>
      <c r="B12" s="10" t="s">
        <v>18</v>
      </c>
      <c r="C12" s="10"/>
    </row>
    <row x14ac:dyDescent="0.25" r="13" customHeight="1" ht="21.75">
      <c r="A13" s="6" t="s">
        <v>19</v>
      </c>
      <c r="B13" s="7" t="s">
        <v>20</v>
      </c>
      <c r="C13" s="7"/>
    </row>
    <row x14ac:dyDescent="0.25" r="14" customHeight="1" ht="21.75">
      <c r="A14" s="9" t="s">
        <v>21</v>
      </c>
      <c r="B14" s="10" t="s">
        <v>22</v>
      </c>
      <c r="C14" s="10"/>
    </row>
    <row x14ac:dyDescent="0.25" r="15" customHeight="1" ht="21.75">
      <c r="A15" s="6" t="s">
        <v>23</v>
      </c>
      <c r="B15" s="7" t="s">
        <v>24</v>
      </c>
      <c r="C15" s="7"/>
    </row>
    <row x14ac:dyDescent="0.25" r="16" customHeight="1" ht="21.75">
      <c r="A16" s="9" t="s">
        <v>25</v>
      </c>
      <c r="B16" s="10" t="s">
        <v>26</v>
      </c>
      <c r="C16" s="10"/>
    </row>
    <row x14ac:dyDescent="0.25" r="17" customHeight="1" ht="21.75">
      <c r="A17" s="6" t="s">
        <v>27</v>
      </c>
      <c r="B17" s="7" t="s">
        <v>28</v>
      </c>
      <c r="C17" s="7"/>
    </row>
    <row x14ac:dyDescent="0.25" r="18" customHeight="1" ht="21.75">
      <c r="A18" s="9" t="s">
        <v>29</v>
      </c>
      <c r="B18" s="10" t="s">
        <v>30</v>
      </c>
      <c r="C18" s="10"/>
    </row>
    <row x14ac:dyDescent="0.25" r="19" customHeight="1" ht="21.75">
      <c r="A19" s="6" t="s">
        <v>31</v>
      </c>
      <c r="B19" s="7" t="s">
        <v>32</v>
      </c>
      <c r="C19" s="7"/>
    </row>
    <row x14ac:dyDescent="0.25" r="20" customHeight="1" ht="21.75">
      <c r="A20" s="9" t="s">
        <v>33</v>
      </c>
      <c r="B20" s="10" t="s">
        <v>34</v>
      </c>
      <c r="C20" s="10"/>
    </row>
    <row x14ac:dyDescent="0.25" r="21" customHeight="1" ht="21.75">
      <c r="A21" s="6" t="s">
        <v>35</v>
      </c>
      <c r="B21" s="7" t="s">
        <v>36</v>
      </c>
      <c r="C21" s="7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Dashboard</vt:lpstr>
      <vt:lpstr>Lessons</vt:lpstr>
      <vt:lpstr>Session Log</vt:lpstr>
      <vt:lpstr>Predictions</vt:lpstr>
      <vt:lpstr>Boss Fights</vt:lpstr>
      <vt:lpstr>Pin Map</vt:lpstr>
      <vt:lpstr>C++ Skills</vt:lpstr>
      <vt:lpstr>Hardware</vt:lpstr>
      <vt:lpstr>Review Prompts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2026-09-04T18:05:39.326Z</dcterms:created>
  <dcterms:modified xsi:type="dcterms:W3CDTF">2026-09-04T18:05:39.326Z</dcterms:modified>
</cp:coreProperties>
</file>